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229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2017June\done\"/>
    </mc:Choice>
  </mc:AlternateContent>
  <bookViews>
    <workbookView xWindow="0" yWindow="0" windowWidth="21600" windowHeight="10130" tabRatio="788" xr2:uid="{00000000-000D-0000-FFFF-FFFF00000000}"/>
  </bookViews>
  <sheets>
    <sheet name="JAN" sheetId="14" r:id="rId1"/>
    <sheet name="FEB" sheetId="21" r:id="rId2"/>
    <sheet name="MAR" sheetId="22" r:id="rId3"/>
    <sheet name="APR" sheetId="23" r:id="rId4"/>
    <sheet name="MAY" sheetId="24" r:id="rId5"/>
    <sheet name="JUN" sheetId="25" r:id="rId6"/>
    <sheet name="JUL" sheetId="26" r:id="rId7"/>
    <sheet name="AUG" sheetId="27" r:id="rId8"/>
    <sheet name="SEP" sheetId="28" r:id="rId9"/>
    <sheet name="OCT" sheetId="29" r:id="rId10"/>
    <sheet name="NOV" sheetId="30" r:id="rId11"/>
    <sheet name="DEC" sheetId="31" r:id="rId12"/>
  </sheets>
  <definedNames>
    <definedName name="CalendarDay" localSheetId="3">APR!A1048576</definedName>
    <definedName name="CalendarDay" localSheetId="7">AUG!A1048576</definedName>
    <definedName name="CalendarDay" localSheetId="11">DEC!A1048576</definedName>
    <definedName name="CalendarDay" localSheetId="1">FEB!A1048576</definedName>
    <definedName name="CalendarDay" localSheetId="0">JAN!A1048576</definedName>
    <definedName name="CalendarDay" localSheetId="6">JUL!A1048576</definedName>
    <definedName name="CalendarDay" localSheetId="5">JUN!A1048576</definedName>
    <definedName name="CalendarDay" localSheetId="2">MAR!A1048576</definedName>
    <definedName name="CalendarDay" localSheetId="4">MAY!A1048576</definedName>
    <definedName name="CalendarDay" localSheetId="10">NOV!A1048576</definedName>
    <definedName name="CalendarDay" localSheetId="9">OCT!A1048576</definedName>
    <definedName name="CalendarDay" localSheetId="8">SEP!A1048576</definedName>
    <definedName name="CalendarYear">JAN!$B$2</definedName>
    <definedName name="ColumnTitleRegion1..J16.1">JAN!$C$1</definedName>
    <definedName name="ColumnTitleRegion1..J16.10">OCT!$C$1</definedName>
    <definedName name="ColumnTitleRegion1..J16.11">NOV!$C$1</definedName>
    <definedName name="ColumnTitleRegion1..J16.12">DEC!$C$1</definedName>
    <definedName name="ColumnTitleRegion1..J16.2">FEB!$C$1</definedName>
    <definedName name="ColumnTitleRegion1..J16.3">MAR!$C$1</definedName>
    <definedName name="ColumnTitleRegion1..J16.4">APR!$C$1</definedName>
    <definedName name="ColumnTitleRegion1..J16.5">MAY!$C$1</definedName>
    <definedName name="ColumnTitleRegion1..J16.6">JUN!$C$1</definedName>
    <definedName name="ColumnTitleRegion1..J16.7">JUL!$C$1</definedName>
    <definedName name="ColumnTitleRegion1..J16.8">AUG!$C$1</definedName>
    <definedName name="ColumnTitleRegion1..J16.9">SEP!$C$1</definedName>
    <definedName name="ColumnTitleRegion2..E20.1">JAN!$C$1</definedName>
    <definedName name="ColumnTitleRegion2..E20.10">OCT!$C$1</definedName>
    <definedName name="ColumnTitleRegion2..E20.11">NOV!$C$1</definedName>
    <definedName name="ColumnTitleRegion2..E20.12">DEC!$C$1</definedName>
    <definedName name="ColumnTitleRegion2..E20.2">FEB!$C$1</definedName>
    <definedName name="ColumnTitleRegion2..E20.3">MAR!$C$1</definedName>
    <definedName name="ColumnTitleRegion2..E20.4">APR!$C$1</definedName>
    <definedName name="ColumnTitleRegion2..E20.5">MAY!$C$1</definedName>
    <definedName name="ColumnTitleRegion2..E20.6">JUN!$C$1</definedName>
    <definedName name="ColumnTitleRegion2..E20.7">JUL!$C$1</definedName>
    <definedName name="ColumnTitleRegion2..E20.8">AUG!$C$1</definedName>
    <definedName name="ColumnTitleRegion2..E20.9">SEP!$C$1</definedName>
    <definedName name="DaysAndWeeks">{0,1,2,3,4,5,6} + {0;1;2;3;4;5}*7</definedName>
    <definedName name="WeekStart">JAN!$C$1</definedName>
    <definedName name="WeekStartValue">IF(WeekStart="Monday",2,1)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" i="22" l="1"/>
  <c r="C1" i="23"/>
  <c r="C1" i="24"/>
  <c r="C1" i="25"/>
  <c r="C1" i="26"/>
  <c r="C1" i="27"/>
  <c r="C1" i="28"/>
  <c r="C1" i="29"/>
  <c r="C1" i="30"/>
  <c r="C1" i="31"/>
  <c r="C1" i="21"/>
  <c r="B2" i="14" l="1"/>
  <c r="B2" i="23" l="1"/>
  <c r="B2" i="24"/>
  <c r="B2" i="25"/>
  <c r="B2" i="26"/>
  <c r="B2" i="27"/>
  <c r="B2" i="28"/>
  <c r="B2" i="29"/>
  <c r="B2" i="30"/>
  <c r="B2" i="31"/>
  <c r="B2" i="22"/>
  <c r="B2" i="21"/>
  <c r="C19" i="31" l="1" a="1"/>
  <c r="D19" i="31" s="1"/>
  <c r="D20" i="31" s="1"/>
  <c r="C15" i="31" a="1"/>
  <c r="I15" i="31" s="1"/>
  <c r="I16" i="31" s="1"/>
  <c r="C12" i="31" a="1"/>
  <c r="H12" i="31" s="1"/>
  <c r="H13" i="31" s="1"/>
  <c r="C9" i="31" a="1"/>
  <c r="I9" i="31" s="1"/>
  <c r="I10" i="31" s="1"/>
  <c r="C6" i="31" a="1"/>
  <c r="H6" i="31" s="1"/>
  <c r="H7" i="31" s="1"/>
  <c r="C3" i="31" a="1"/>
  <c r="I3" i="31" s="1"/>
  <c r="C19" i="30" a="1"/>
  <c r="D19" i="30" s="1"/>
  <c r="D20" i="30" s="1"/>
  <c r="C15" i="30" a="1"/>
  <c r="I15" i="30" s="1"/>
  <c r="I16" i="30" s="1"/>
  <c r="C12" i="30" a="1"/>
  <c r="H12" i="30" s="1"/>
  <c r="H13" i="30" s="1"/>
  <c r="C9" i="30" a="1"/>
  <c r="I9" i="30" s="1"/>
  <c r="I10" i="30" s="1"/>
  <c r="C6" i="30" a="1"/>
  <c r="H6" i="30" s="1"/>
  <c r="H7" i="30" s="1"/>
  <c r="C3" i="30" a="1"/>
  <c r="I3" i="30" s="1"/>
  <c r="C19" i="29" a="1"/>
  <c r="D19" i="29" s="1"/>
  <c r="D20" i="29" s="1"/>
  <c r="C15" i="29" a="1"/>
  <c r="I15" i="29" s="1"/>
  <c r="I16" i="29" s="1"/>
  <c r="C12" i="29" a="1"/>
  <c r="H12" i="29" s="1"/>
  <c r="H13" i="29" s="1"/>
  <c r="C9" i="29" a="1"/>
  <c r="I9" i="29" s="1"/>
  <c r="I10" i="29" s="1"/>
  <c r="C6" i="29" a="1"/>
  <c r="H6" i="29" s="1"/>
  <c r="H7" i="29" s="1"/>
  <c r="C3" i="29" a="1"/>
  <c r="I3" i="29" s="1"/>
  <c r="C19" i="28" a="1"/>
  <c r="D19" i="28" s="1"/>
  <c r="D20" i="28" s="1"/>
  <c r="C15" i="28" a="1"/>
  <c r="H15" i="28" s="1"/>
  <c r="C12" i="28" a="1"/>
  <c r="H12" i="28" s="1"/>
  <c r="H13" i="28" s="1"/>
  <c r="C9" i="28" a="1"/>
  <c r="H9" i="28" s="1"/>
  <c r="C6" i="28" a="1"/>
  <c r="H6" i="28" s="1"/>
  <c r="H7" i="28" s="1"/>
  <c r="C3" i="28" a="1"/>
  <c r="H3" i="28" s="1"/>
  <c r="C19" i="27" a="1"/>
  <c r="D19" i="27" s="1"/>
  <c r="D20" i="27" s="1"/>
  <c r="C15" i="27" a="1"/>
  <c r="I15" i="27" s="1"/>
  <c r="I16" i="27" s="1"/>
  <c r="C12" i="27" a="1"/>
  <c r="H12" i="27" s="1"/>
  <c r="H13" i="27" s="1"/>
  <c r="C9" i="27" a="1"/>
  <c r="I9" i="27" s="1"/>
  <c r="I10" i="27" s="1"/>
  <c r="C6" i="27" a="1"/>
  <c r="H6" i="27" s="1"/>
  <c r="H7" i="27" s="1"/>
  <c r="C3" i="27" a="1"/>
  <c r="I3" i="27" s="1"/>
  <c r="C19" i="26" a="1"/>
  <c r="D19" i="26" s="1"/>
  <c r="D20" i="26" s="1"/>
  <c r="C15" i="26" a="1"/>
  <c r="I15" i="26" s="1"/>
  <c r="I16" i="26" s="1"/>
  <c r="C12" i="26" a="1"/>
  <c r="H12" i="26" s="1"/>
  <c r="H13" i="26" s="1"/>
  <c r="C9" i="26" a="1"/>
  <c r="I9" i="26" s="1"/>
  <c r="I10" i="26" s="1"/>
  <c r="C6" i="26" a="1"/>
  <c r="H6" i="26" s="1"/>
  <c r="H7" i="26" s="1"/>
  <c r="C3" i="26" a="1"/>
  <c r="H3" i="26" s="1"/>
  <c r="C19" i="25" a="1"/>
  <c r="D19" i="25" s="1"/>
  <c r="D20" i="25" s="1"/>
  <c r="C15" i="25" a="1"/>
  <c r="I15" i="25" s="1"/>
  <c r="I16" i="25" s="1"/>
  <c r="C12" i="25" a="1"/>
  <c r="H12" i="25" s="1"/>
  <c r="H13" i="25" s="1"/>
  <c r="C9" i="25" a="1"/>
  <c r="I9" i="25" s="1"/>
  <c r="I10" i="25" s="1"/>
  <c r="C6" i="25" a="1"/>
  <c r="H6" i="25" s="1"/>
  <c r="H7" i="25" s="1"/>
  <c r="C3" i="25" a="1"/>
  <c r="I3" i="25" s="1"/>
  <c r="C19" i="24" a="1"/>
  <c r="D19" i="24" s="1"/>
  <c r="D20" i="24" s="1"/>
  <c r="C15" i="24" a="1"/>
  <c r="I15" i="24" s="1"/>
  <c r="I16" i="24" s="1"/>
  <c r="C12" i="24" a="1"/>
  <c r="H12" i="24" s="1"/>
  <c r="H13" i="24" s="1"/>
  <c r="C9" i="24" a="1"/>
  <c r="I9" i="24" s="1"/>
  <c r="I10" i="24" s="1"/>
  <c r="C6" i="24" a="1"/>
  <c r="H6" i="24" s="1"/>
  <c r="H7" i="24" s="1"/>
  <c r="C3" i="24" a="1"/>
  <c r="I3" i="24" s="1"/>
  <c r="C19" i="23" a="1"/>
  <c r="D19" i="23" s="1"/>
  <c r="D20" i="23" s="1"/>
  <c r="C15" i="23" a="1"/>
  <c r="I15" i="23" s="1"/>
  <c r="I16" i="23" s="1"/>
  <c r="C12" i="23" a="1"/>
  <c r="H12" i="23" s="1"/>
  <c r="H13" i="23" s="1"/>
  <c r="C9" i="23" a="1"/>
  <c r="H9" i="23" s="1"/>
  <c r="H10" i="23" s="1"/>
  <c r="C6" i="23" a="1"/>
  <c r="I6" i="23" s="1"/>
  <c r="C3" i="23" a="1"/>
  <c r="H3" i="23" s="1"/>
  <c r="C19" i="22" a="1"/>
  <c r="D19" i="22" s="1"/>
  <c r="D20" i="22" s="1"/>
  <c r="C15" i="22" a="1"/>
  <c r="I15" i="22" s="1"/>
  <c r="I16" i="22" s="1"/>
  <c r="C12" i="22" a="1"/>
  <c r="H12" i="22" s="1"/>
  <c r="H13" i="22" s="1"/>
  <c r="C9" i="22" a="1"/>
  <c r="I9" i="22" s="1"/>
  <c r="I10" i="22" s="1"/>
  <c r="C6" i="22" a="1"/>
  <c r="F6" i="22" s="1"/>
  <c r="C3" i="22" a="1"/>
  <c r="H3" i="22" s="1"/>
  <c r="I1" i="31" l="1"/>
  <c r="I4" i="31"/>
  <c r="I1" i="30"/>
  <c r="I4" i="30"/>
  <c r="I1" i="29"/>
  <c r="I4" i="29"/>
  <c r="H1" i="28"/>
  <c r="H4" i="28"/>
  <c r="I1" i="27"/>
  <c r="I4" i="27"/>
  <c r="H1" i="26"/>
  <c r="H4" i="26"/>
  <c r="I1" i="25"/>
  <c r="I4" i="25"/>
  <c r="I1" i="24"/>
  <c r="I4" i="24"/>
  <c r="H1" i="23"/>
  <c r="H4" i="23"/>
  <c r="H1" i="22"/>
  <c r="H4" i="22"/>
  <c r="D3" i="31"/>
  <c r="F3" i="31"/>
  <c r="H3" i="31"/>
  <c r="D9" i="31"/>
  <c r="D10" i="31" s="1"/>
  <c r="F9" i="31"/>
  <c r="F10" i="31" s="1"/>
  <c r="H9" i="31"/>
  <c r="H10" i="31" s="1"/>
  <c r="D15" i="31"/>
  <c r="D16" i="31" s="1"/>
  <c r="F15" i="31"/>
  <c r="F16" i="31" s="1"/>
  <c r="H15" i="31"/>
  <c r="H16" i="31" s="1"/>
  <c r="C3" i="31"/>
  <c r="C4" i="31" s="1"/>
  <c r="E3" i="31"/>
  <c r="G3" i="31"/>
  <c r="C6" i="31"/>
  <c r="C7" i="31" s="1"/>
  <c r="E6" i="31"/>
  <c r="E7" i="31" s="1"/>
  <c r="G6" i="31"/>
  <c r="G7" i="31" s="1"/>
  <c r="I6" i="31"/>
  <c r="I7" i="31" s="1"/>
  <c r="C9" i="31"/>
  <c r="C10" i="31" s="1"/>
  <c r="E9" i="31"/>
  <c r="E10" i="31" s="1"/>
  <c r="G9" i="31"/>
  <c r="G10" i="31" s="1"/>
  <c r="C12" i="31"/>
  <c r="C13" i="31" s="1"/>
  <c r="E12" i="31"/>
  <c r="E13" i="31" s="1"/>
  <c r="G12" i="31"/>
  <c r="G13" i="31" s="1"/>
  <c r="I12" i="31"/>
  <c r="I13" i="31" s="1"/>
  <c r="C15" i="31"/>
  <c r="C16" i="31" s="1"/>
  <c r="E15" i="31"/>
  <c r="E16" i="31" s="1"/>
  <c r="G15" i="31"/>
  <c r="G16" i="31" s="1"/>
  <c r="C19" i="31"/>
  <c r="C20" i="31" s="1"/>
  <c r="D6" i="31"/>
  <c r="D7" i="31" s="1"/>
  <c r="F6" i="31"/>
  <c r="F7" i="31" s="1"/>
  <c r="D12" i="31"/>
  <c r="D13" i="31" s="1"/>
  <c r="F12" i="31"/>
  <c r="F13" i="31" s="1"/>
  <c r="D3" i="30"/>
  <c r="F3" i="30"/>
  <c r="H3" i="30"/>
  <c r="D9" i="30"/>
  <c r="D10" i="30" s="1"/>
  <c r="F9" i="30"/>
  <c r="F10" i="30" s="1"/>
  <c r="H9" i="30"/>
  <c r="H10" i="30" s="1"/>
  <c r="D15" i="30"/>
  <c r="D16" i="30" s="1"/>
  <c r="F15" i="30"/>
  <c r="F16" i="30" s="1"/>
  <c r="H15" i="30"/>
  <c r="H16" i="30" s="1"/>
  <c r="C3" i="30"/>
  <c r="C4" i="30" s="1"/>
  <c r="E3" i="30"/>
  <c r="G3" i="30"/>
  <c r="C6" i="30"/>
  <c r="C7" i="30" s="1"/>
  <c r="E6" i="30"/>
  <c r="E7" i="30" s="1"/>
  <c r="G6" i="30"/>
  <c r="G7" i="30" s="1"/>
  <c r="I6" i="30"/>
  <c r="I7" i="30" s="1"/>
  <c r="C9" i="30"/>
  <c r="C10" i="30" s="1"/>
  <c r="E9" i="30"/>
  <c r="E10" i="30" s="1"/>
  <c r="G9" i="30"/>
  <c r="G10" i="30" s="1"/>
  <c r="C12" i="30"/>
  <c r="C13" i="30" s="1"/>
  <c r="E12" i="30"/>
  <c r="E13" i="30" s="1"/>
  <c r="G12" i="30"/>
  <c r="G13" i="30" s="1"/>
  <c r="I12" i="30"/>
  <c r="I13" i="30" s="1"/>
  <c r="C15" i="30"/>
  <c r="C16" i="30" s="1"/>
  <c r="E15" i="30"/>
  <c r="E16" i="30" s="1"/>
  <c r="G15" i="30"/>
  <c r="G16" i="30" s="1"/>
  <c r="C19" i="30"/>
  <c r="C20" i="30" s="1"/>
  <c r="D6" i="30"/>
  <c r="D7" i="30" s="1"/>
  <c r="F6" i="30"/>
  <c r="F7" i="30" s="1"/>
  <c r="D12" i="30"/>
  <c r="D13" i="30" s="1"/>
  <c r="F12" i="30"/>
  <c r="F13" i="30" s="1"/>
  <c r="G6" i="28"/>
  <c r="G7" i="28" s="1"/>
  <c r="G12" i="28"/>
  <c r="G13" i="28" s="1"/>
  <c r="C6" i="28"/>
  <c r="C7" i="28" s="1"/>
  <c r="C12" i="28"/>
  <c r="C13" i="28" s="1"/>
  <c r="C19" i="28"/>
  <c r="C20" i="28" s="1"/>
  <c r="D3" i="29"/>
  <c r="F3" i="29"/>
  <c r="H3" i="29"/>
  <c r="D9" i="29"/>
  <c r="D10" i="29" s="1"/>
  <c r="F9" i="29"/>
  <c r="F10" i="29" s="1"/>
  <c r="H9" i="29"/>
  <c r="H10" i="29" s="1"/>
  <c r="D15" i="29"/>
  <c r="D16" i="29" s="1"/>
  <c r="F15" i="29"/>
  <c r="F16" i="29" s="1"/>
  <c r="H15" i="29"/>
  <c r="H16" i="29" s="1"/>
  <c r="C3" i="29"/>
  <c r="C4" i="29" s="1"/>
  <c r="E3" i="29"/>
  <c r="G3" i="29"/>
  <c r="C6" i="29"/>
  <c r="C7" i="29" s="1"/>
  <c r="E6" i="29"/>
  <c r="E7" i="29" s="1"/>
  <c r="G6" i="29"/>
  <c r="G7" i="29" s="1"/>
  <c r="I6" i="29"/>
  <c r="I7" i="29" s="1"/>
  <c r="C9" i="29"/>
  <c r="C10" i="29" s="1"/>
  <c r="E9" i="29"/>
  <c r="E10" i="29" s="1"/>
  <c r="G9" i="29"/>
  <c r="G10" i="29" s="1"/>
  <c r="C12" i="29"/>
  <c r="C13" i="29" s="1"/>
  <c r="E12" i="29"/>
  <c r="E13" i="29" s="1"/>
  <c r="G12" i="29"/>
  <c r="G13" i="29" s="1"/>
  <c r="I12" i="29"/>
  <c r="I13" i="29" s="1"/>
  <c r="C15" i="29"/>
  <c r="C16" i="29" s="1"/>
  <c r="E15" i="29"/>
  <c r="E16" i="29" s="1"/>
  <c r="G15" i="29"/>
  <c r="G16" i="29" s="1"/>
  <c r="C19" i="29"/>
  <c r="C20" i="29" s="1"/>
  <c r="D6" i="29"/>
  <c r="D7" i="29" s="1"/>
  <c r="F6" i="29"/>
  <c r="F7" i="29" s="1"/>
  <c r="D12" i="29"/>
  <c r="D13" i="29" s="1"/>
  <c r="F12" i="29"/>
  <c r="F13" i="29" s="1"/>
  <c r="C3" i="28"/>
  <c r="C4" i="28" s="1"/>
  <c r="G3" i="28"/>
  <c r="E6" i="28"/>
  <c r="E7" i="28" s="1"/>
  <c r="I6" i="28"/>
  <c r="I7" i="28" s="1"/>
  <c r="C9" i="28"/>
  <c r="C10" i="28" s="1"/>
  <c r="G9" i="28"/>
  <c r="G10" i="28" s="1"/>
  <c r="E12" i="28"/>
  <c r="E13" i="28" s="1"/>
  <c r="I12" i="28"/>
  <c r="I13" i="28" s="1"/>
  <c r="C15" i="28"/>
  <c r="C16" i="28" s="1"/>
  <c r="G15" i="28"/>
  <c r="G16" i="28" s="1"/>
  <c r="E3" i="28"/>
  <c r="I3" i="28"/>
  <c r="E9" i="28"/>
  <c r="E10" i="28" s="1"/>
  <c r="I9" i="28"/>
  <c r="I10" i="28" s="1"/>
  <c r="E15" i="28"/>
  <c r="E16" i="28" s="1"/>
  <c r="I15" i="28"/>
  <c r="I16" i="28" s="1"/>
  <c r="D3" i="28"/>
  <c r="F3" i="28"/>
  <c r="D6" i="28"/>
  <c r="D7" i="28" s="1"/>
  <c r="F6" i="28"/>
  <c r="F7" i="28" s="1"/>
  <c r="D9" i="28"/>
  <c r="D10" i="28" s="1"/>
  <c r="F9" i="28"/>
  <c r="F10" i="28" s="1"/>
  <c r="D12" i="28"/>
  <c r="D13" i="28" s="1"/>
  <c r="F12" i="28"/>
  <c r="F13" i="28" s="1"/>
  <c r="D15" i="28"/>
  <c r="D16" i="28" s="1"/>
  <c r="F15" i="28"/>
  <c r="F16" i="28" s="1"/>
  <c r="H10" i="28"/>
  <c r="H16" i="28"/>
  <c r="D3" i="27"/>
  <c r="F3" i="27"/>
  <c r="H3" i="27"/>
  <c r="D9" i="27"/>
  <c r="D10" i="27" s="1"/>
  <c r="F9" i="27"/>
  <c r="F10" i="27" s="1"/>
  <c r="H9" i="27"/>
  <c r="H10" i="27" s="1"/>
  <c r="D15" i="27"/>
  <c r="D16" i="27" s="1"/>
  <c r="F15" i="27"/>
  <c r="F16" i="27" s="1"/>
  <c r="H15" i="27"/>
  <c r="H16" i="27" s="1"/>
  <c r="C3" i="27"/>
  <c r="C4" i="27" s="1"/>
  <c r="E3" i="27"/>
  <c r="G3" i="27"/>
  <c r="C6" i="27"/>
  <c r="C7" i="27" s="1"/>
  <c r="E6" i="27"/>
  <c r="E7" i="27" s="1"/>
  <c r="G6" i="27"/>
  <c r="G7" i="27" s="1"/>
  <c r="I6" i="27"/>
  <c r="I7" i="27" s="1"/>
  <c r="C9" i="27"/>
  <c r="C10" i="27" s="1"/>
  <c r="E9" i="27"/>
  <c r="E10" i="27" s="1"/>
  <c r="G9" i="27"/>
  <c r="G10" i="27" s="1"/>
  <c r="C12" i="27"/>
  <c r="C13" i="27" s="1"/>
  <c r="E12" i="27"/>
  <c r="E13" i="27" s="1"/>
  <c r="G12" i="27"/>
  <c r="G13" i="27" s="1"/>
  <c r="I12" i="27"/>
  <c r="I13" i="27" s="1"/>
  <c r="C15" i="27"/>
  <c r="C16" i="27" s="1"/>
  <c r="E15" i="27"/>
  <c r="E16" i="27" s="1"/>
  <c r="G15" i="27"/>
  <c r="G16" i="27" s="1"/>
  <c r="C19" i="27"/>
  <c r="C20" i="27" s="1"/>
  <c r="D6" i="27"/>
  <c r="D7" i="27" s="1"/>
  <c r="F6" i="27"/>
  <c r="F7" i="27" s="1"/>
  <c r="D12" i="27"/>
  <c r="D13" i="27" s="1"/>
  <c r="F12" i="27"/>
  <c r="F13" i="27" s="1"/>
  <c r="D9" i="26"/>
  <c r="D10" i="26" s="1"/>
  <c r="F9" i="26"/>
  <c r="F10" i="26" s="1"/>
  <c r="H9" i="26"/>
  <c r="H10" i="26" s="1"/>
  <c r="D15" i="26"/>
  <c r="D16" i="26" s="1"/>
  <c r="F15" i="26"/>
  <c r="F16" i="26" s="1"/>
  <c r="H15" i="26"/>
  <c r="H16" i="26" s="1"/>
  <c r="C3" i="26"/>
  <c r="C4" i="26" s="1"/>
  <c r="E3" i="26"/>
  <c r="G3" i="26"/>
  <c r="I3" i="26"/>
  <c r="C6" i="26"/>
  <c r="C7" i="26" s="1"/>
  <c r="E6" i="26"/>
  <c r="G6" i="26"/>
  <c r="G7" i="26" s="1"/>
  <c r="I6" i="26"/>
  <c r="I7" i="26" s="1"/>
  <c r="C9" i="26"/>
  <c r="C10" i="26" s="1"/>
  <c r="E9" i="26"/>
  <c r="E10" i="26" s="1"/>
  <c r="G9" i="26"/>
  <c r="G10" i="26" s="1"/>
  <c r="C12" i="26"/>
  <c r="C13" i="26" s="1"/>
  <c r="E12" i="26"/>
  <c r="E13" i="26" s="1"/>
  <c r="G12" i="26"/>
  <c r="G13" i="26" s="1"/>
  <c r="I12" i="26"/>
  <c r="I13" i="26" s="1"/>
  <c r="C15" i="26"/>
  <c r="C16" i="26" s="1"/>
  <c r="E15" i="26"/>
  <c r="E16" i="26" s="1"/>
  <c r="G15" i="26"/>
  <c r="G16" i="26" s="1"/>
  <c r="C19" i="26"/>
  <c r="C20" i="26" s="1"/>
  <c r="D3" i="26"/>
  <c r="F3" i="26"/>
  <c r="D6" i="26"/>
  <c r="D7" i="26" s="1"/>
  <c r="F6" i="26"/>
  <c r="F7" i="26" s="1"/>
  <c r="D12" i="26"/>
  <c r="D13" i="26" s="1"/>
  <c r="F12" i="26"/>
  <c r="F13" i="26" s="1"/>
  <c r="E7" i="26"/>
  <c r="D3" i="25"/>
  <c r="F3" i="25"/>
  <c r="H3" i="25"/>
  <c r="D9" i="25"/>
  <c r="D10" i="25" s="1"/>
  <c r="F9" i="25"/>
  <c r="F10" i="25" s="1"/>
  <c r="H9" i="25"/>
  <c r="H10" i="25" s="1"/>
  <c r="D15" i="25"/>
  <c r="D16" i="25" s="1"/>
  <c r="F15" i="25"/>
  <c r="F16" i="25" s="1"/>
  <c r="H15" i="25"/>
  <c r="H16" i="25" s="1"/>
  <c r="C3" i="25"/>
  <c r="C4" i="25" s="1"/>
  <c r="E3" i="25"/>
  <c r="G3" i="25"/>
  <c r="C6" i="25"/>
  <c r="C7" i="25" s="1"/>
  <c r="E6" i="25"/>
  <c r="E7" i="25" s="1"/>
  <c r="G6" i="25"/>
  <c r="G7" i="25" s="1"/>
  <c r="I6" i="25"/>
  <c r="I7" i="25" s="1"/>
  <c r="C9" i="25"/>
  <c r="C10" i="25" s="1"/>
  <c r="E9" i="25"/>
  <c r="E10" i="25" s="1"/>
  <c r="G9" i="25"/>
  <c r="G10" i="25" s="1"/>
  <c r="C12" i="25"/>
  <c r="C13" i="25" s="1"/>
  <c r="E12" i="25"/>
  <c r="E13" i="25" s="1"/>
  <c r="G12" i="25"/>
  <c r="G13" i="25" s="1"/>
  <c r="I12" i="25"/>
  <c r="I13" i="25" s="1"/>
  <c r="C15" i="25"/>
  <c r="C16" i="25" s="1"/>
  <c r="E15" i="25"/>
  <c r="E16" i="25" s="1"/>
  <c r="G15" i="25"/>
  <c r="G16" i="25" s="1"/>
  <c r="C19" i="25"/>
  <c r="C20" i="25" s="1"/>
  <c r="D6" i="25"/>
  <c r="D7" i="25" s="1"/>
  <c r="F6" i="25"/>
  <c r="F7" i="25" s="1"/>
  <c r="D12" i="25"/>
  <c r="D13" i="25" s="1"/>
  <c r="F12" i="25"/>
  <c r="F13" i="25" s="1"/>
  <c r="D3" i="24"/>
  <c r="F3" i="24"/>
  <c r="H3" i="24"/>
  <c r="D9" i="24"/>
  <c r="D10" i="24" s="1"/>
  <c r="F9" i="24"/>
  <c r="F10" i="24" s="1"/>
  <c r="H9" i="24"/>
  <c r="H10" i="24" s="1"/>
  <c r="D15" i="24"/>
  <c r="D16" i="24" s="1"/>
  <c r="F15" i="24"/>
  <c r="F16" i="24" s="1"/>
  <c r="H15" i="24"/>
  <c r="H16" i="24" s="1"/>
  <c r="C3" i="24"/>
  <c r="C4" i="24" s="1"/>
  <c r="E3" i="24"/>
  <c r="G3" i="24"/>
  <c r="C6" i="24"/>
  <c r="C7" i="24" s="1"/>
  <c r="E6" i="24"/>
  <c r="E7" i="24" s="1"/>
  <c r="G6" i="24"/>
  <c r="G7" i="24" s="1"/>
  <c r="I6" i="24"/>
  <c r="I7" i="24" s="1"/>
  <c r="C9" i="24"/>
  <c r="C10" i="24" s="1"/>
  <c r="E9" i="24"/>
  <c r="E10" i="24" s="1"/>
  <c r="G9" i="24"/>
  <c r="G10" i="24" s="1"/>
  <c r="C12" i="24"/>
  <c r="C13" i="24" s="1"/>
  <c r="E12" i="24"/>
  <c r="E13" i="24" s="1"/>
  <c r="G12" i="24"/>
  <c r="G13" i="24" s="1"/>
  <c r="I12" i="24"/>
  <c r="I13" i="24" s="1"/>
  <c r="C15" i="24"/>
  <c r="C16" i="24" s="1"/>
  <c r="E15" i="24"/>
  <c r="E16" i="24" s="1"/>
  <c r="G15" i="24"/>
  <c r="G16" i="24" s="1"/>
  <c r="C19" i="24"/>
  <c r="C20" i="24" s="1"/>
  <c r="D6" i="24"/>
  <c r="D7" i="24" s="1"/>
  <c r="F6" i="24"/>
  <c r="F7" i="24" s="1"/>
  <c r="D12" i="24"/>
  <c r="D13" i="24" s="1"/>
  <c r="F12" i="24"/>
  <c r="F13" i="24" s="1"/>
  <c r="D6" i="23"/>
  <c r="D7" i="23" s="1"/>
  <c r="F6" i="23"/>
  <c r="F7" i="23" s="1"/>
  <c r="H6" i="23"/>
  <c r="H7" i="23" s="1"/>
  <c r="D12" i="23"/>
  <c r="D13" i="23" s="1"/>
  <c r="F12" i="23"/>
  <c r="F13" i="23" s="1"/>
  <c r="D15" i="23"/>
  <c r="D16" i="23" s="1"/>
  <c r="F15" i="23"/>
  <c r="F16" i="23" s="1"/>
  <c r="H15" i="23"/>
  <c r="H16" i="23" s="1"/>
  <c r="C3" i="23"/>
  <c r="C4" i="23" s="1"/>
  <c r="E3" i="23"/>
  <c r="G3" i="23"/>
  <c r="I3" i="23"/>
  <c r="C6" i="23"/>
  <c r="C7" i="23" s="1"/>
  <c r="E6" i="23"/>
  <c r="E7" i="23" s="1"/>
  <c r="G6" i="23"/>
  <c r="G7" i="23" s="1"/>
  <c r="C9" i="23"/>
  <c r="C10" i="23" s="1"/>
  <c r="E9" i="23"/>
  <c r="E10" i="23" s="1"/>
  <c r="G9" i="23"/>
  <c r="G10" i="23" s="1"/>
  <c r="I9" i="23"/>
  <c r="I10" i="23" s="1"/>
  <c r="C12" i="23"/>
  <c r="C13" i="23" s="1"/>
  <c r="E12" i="23"/>
  <c r="E13" i="23" s="1"/>
  <c r="G12" i="23"/>
  <c r="G13" i="23" s="1"/>
  <c r="I12" i="23"/>
  <c r="I13" i="23" s="1"/>
  <c r="C15" i="23"/>
  <c r="C16" i="23" s="1"/>
  <c r="E15" i="23"/>
  <c r="E16" i="23" s="1"/>
  <c r="G15" i="23"/>
  <c r="G16" i="23" s="1"/>
  <c r="C19" i="23"/>
  <c r="C20" i="23" s="1"/>
  <c r="D3" i="23"/>
  <c r="F3" i="23"/>
  <c r="D9" i="23"/>
  <c r="D10" i="23" s="1"/>
  <c r="F9" i="23"/>
  <c r="F10" i="23" s="1"/>
  <c r="I7" i="23"/>
  <c r="D6" i="22"/>
  <c r="D7" i="22" s="1"/>
  <c r="H6" i="22"/>
  <c r="H7" i="22" s="1"/>
  <c r="D9" i="22"/>
  <c r="D10" i="22" s="1"/>
  <c r="F9" i="22"/>
  <c r="F10" i="22" s="1"/>
  <c r="H9" i="22"/>
  <c r="H10" i="22" s="1"/>
  <c r="D12" i="22"/>
  <c r="D13" i="22" s="1"/>
  <c r="F12" i="22"/>
  <c r="F13" i="22" s="1"/>
  <c r="D15" i="22"/>
  <c r="D16" i="22" s="1"/>
  <c r="F15" i="22"/>
  <c r="F16" i="22" s="1"/>
  <c r="H15" i="22"/>
  <c r="H16" i="22" s="1"/>
  <c r="C3" i="22"/>
  <c r="C4" i="22" s="1"/>
  <c r="E3" i="22"/>
  <c r="G3" i="22"/>
  <c r="I3" i="22"/>
  <c r="C6" i="22"/>
  <c r="C7" i="22" s="1"/>
  <c r="E6" i="22"/>
  <c r="E7" i="22" s="1"/>
  <c r="G6" i="22"/>
  <c r="G7" i="22" s="1"/>
  <c r="I6" i="22"/>
  <c r="I7" i="22" s="1"/>
  <c r="C9" i="22"/>
  <c r="C10" i="22" s="1"/>
  <c r="E9" i="22"/>
  <c r="E10" i="22" s="1"/>
  <c r="G9" i="22"/>
  <c r="G10" i="22" s="1"/>
  <c r="C12" i="22"/>
  <c r="C13" i="22" s="1"/>
  <c r="E12" i="22"/>
  <c r="E13" i="22" s="1"/>
  <c r="G12" i="22"/>
  <c r="G13" i="22" s="1"/>
  <c r="I12" i="22"/>
  <c r="I13" i="22" s="1"/>
  <c r="C15" i="22"/>
  <c r="C16" i="22" s="1"/>
  <c r="E15" i="22"/>
  <c r="E16" i="22" s="1"/>
  <c r="G15" i="22"/>
  <c r="G16" i="22" s="1"/>
  <c r="C19" i="22"/>
  <c r="C20" i="22" s="1"/>
  <c r="D3" i="22"/>
  <c r="F3" i="22"/>
  <c r="F7" i="22"/>
  <c r="C19" i="21" a="1"/>
  <c r="C19" i="21" s="1"/>
  <c r="C15" i="21" a="1"/>
  <c r="C15" i="21" s="1"/>
  <c r="C12" i="21" a="1"/>
  <c r="C12" i="21" s="1"/>
  <c r="C9" i="21" a="1"/>
  <c r="C9" i="21" s="1"/>
  <c r="C6" i="21" a="1"/>
  <c r="C6" i="21" s="1"/>
  <c r="C3" i="21" a="1"/>
  <c r="C3" i="21" s="1"/>
  <c r="C4" i="21" s="1"/>
  <c r="G1" i="31" l="1"/>
  <c r="G4" i="31"/>
  <c r="E1" i="31"/>
  <c r="E4" i="31"/>
  <c r="H1" i="31"/>
  <c r="H4" i="31"/>
  <c r="F1" i="31"/>
  <c r="F4" i="31"/>
  <c r="D1" i="31"/>
  <c r="D4" i="31"/>
  <c r="D1" i="30"/>
  <c r="D4" i="30"/>
  <c r="G1" i="30"/>
  <c r="G4" i="30"/>
  <c r="E1" i="30"/>
  <c r="E4" i="30"/>
  <c r="H1" i="30"/>
  <c r="H4" i="30"/>
  <c r="F1" i="30"/>
  <c r="F4" i="30"/>
  <c r="D1" i="29"/>
  <c r="D4" i="29"/>
  <c r="G1" i="29"/>
  <c r="G4" i="29"/>
  <c r="F1" i="29"/>
  <c r="F4" i="29"/>
  <c r="E1" i="29"/>
  <c r="E4" i="29"/>
  <c r="H1" i="29"/>
  <c r="H4" i="29"/>
  <c r="F1" i="28"/>
  <c r="F4" i="28"/>
  <c r="G1" i="28"/>
  <c r="G4" i="28"/>
  <c r="I1" i="28"/>
  <c r="I4" i="28"/>
  <c r="E1" i="28"/>
  <c r="E4" i="28"/>
  <c r="D1" i="28"/>
  <c r="D4" i="28"/>
  <c r="F1" i="27"/>
  <c r="F4" i="27"/>
  <c r="D1" i="27"/>
  <c r="D4" i="27"/>
  <c r="G1" i="27"/>
  <c r="G4" i="27"/>
  <c r="E1" i="27"/>
  <c r="E4" i="27"/>
  <c r="H1" i="27"/>
  <c r="H4" i="27"/>
  <c r="E1" i="26"/>
  <c r="E4" i="26"/>
  <c r="F1" i="26"/>
  <c r="F4" i="26"/>
  <c r="D1" i="26"/>
  <c r="D4" i="26"/>
  <c r="I1" i="26"/>
  <c r="I4" i="26"/>
  <c r="G1" i="26"/>
  <c r="G4" i="26"/>
  <c r="F1" i="25"/>
  <c r="F4" i="25"/>
  <c r="D1" i="25"/>
  <c r="D4" i="25"/>
  <c r="G1" i="25"/>
  <c r="G4" i="25"/>
  <c r="E1" i="25"/>
  <c r="E4" i="25"/>
  <c r="H1" i="25"/>
  <c r="H4" i="25"/>
  <c r="E1" i="24"/>
  <c r="E4" i="24"/>
  <c r="H1" i="24"/>
  <c r="H4" i="24"/>
  <c r="G1" i="24"/>
  <c r="G4" i="24"/>
  <c r="F1" i="24"/>
  <c r="F4" i="24"/>
  <c r="D1" i="24"/>
  <c r="D4" i="24"/>
  <c r="F1" i="23"/>
  <c r="F4" i="23"/>
  <c r="D1" i="23"/>
  <c r="D4" i="23"/>
  <c r="I1" i="23"/>
  <c r="I4" i="23"/>
  <c r="E1" i="23"/>
  <c r="E4" i="23"/>
  <c r="G1" i="23"/>
  <c r="G4" i="23"/>
  <c r="D1" i="22"/>
  <c r="D4" i="22"/>
  <c r="I1" i="22"/>
  <c r="I4" i="22"/>
  <c r="G1" i="22"/>
  <c r="G4" i="22"/>
  <c r="F1" i="22"/>
  <c r="F4" i="22"/>
  <c r="E1" i="22"/>
  <c r="E4" i="22"/>
  <c r="F3" i="21"/>
  <c r="F4" i="21" s="1"/>
  <c r="H3" i="21"/>
  <c r="H4" i="21" s="1"/>
  <c r="D3" i="21"/>
  <c r="D4" i="21" s="1"/>
  <c r="H15" i="21"/>
  <c r="D15" i="21"/>
  <c r="D19" i="21"/>
  <c r="F15" i="21"/>
  <c r="I15" i="21"/>
  <c r="G15" i="21"/>
  <c r="E15" i="21"/>
  <c r="H9" i="21"/>
  <c r="F9" i="21"/>
  <c r="D9" i="21"/>
  <c r="H6" i="21"/>
  <c r="F6" i="21"/>
  <c r="D6" i="21"/>
  <c r="H12" i="21"/>
  <c r="F12" i="21"/>
  <c r="D12" i="21"/>
  <c r="I3" i="21"/>
  <c r="I4" i="21" s="1"/>
  <c r="G3" i="21"/>
  <c r="G4" i="21" s="1"/>
  <c r="E3" i="21"/>
  <c r="E4" i="21" s="1"/>
  <c r="I6" i="21"/>
  <c r="G6" i="21"/>
  <c r="E6" i="21"/>
  <c r="I9" i="21"/>
  <c r="G9" i="21"/>
  <c r="E9" i="21"/>
  <c r="I12" i="21"/>
  <c r="G12" i="21"/>
  <c r="E12" i="21"/>
  <c r="E1" i="21" l="1"/>
  <c r="G1" i="21"/>
  <c r="I1" i="21"/>
  <c r="D1" i="21"/>
  <c r="F1" i="21"/>
  <c r="H1" i="21"/>
  <c r="D20" i="21"/>
  <c r="H16" i="21"/>
  <c r="F16" i="21"/>
  <c r="D16" i="21"/>
  <c r="I13" i="21"/>
  <c r="G13" i="21"/>
  <c r="E13" i="21"/>
  <c r="C13" i="21"/>
  <c r="H10" i="21"/>
  <c r="F10" i="21"/>
  <c r="D10" i="21"/>
  <c r="I7" i="21"/>
  <c r="G7" i="21"/>
  <c r="E7" i="21"/>
  <c r="C7" i="21"/>
  <c r="H7" i="21"/>
  <c r="F7" i="21"/>
  <c r="C20" i="21"/>
  <c r="I16" i="21"/>
  <c r="G16" i="21"/>
  <c r="E16" i="21"/>
  <c r="C16" i="21"/>
  <c r="H13" i="21"/>
  <c r="F13" i="21"/>
  <c r="D13" i="21"/>
  <c r="I10" i="21"/>
  <c r="G10" i="21"/>
  <c r="E10" i="21"/>
  <c r="C10" i="21"/>
  <c r="D7" i="21"/>
  <c r="C19" i="14" l="1" a="1"/>
  <c r="D19" i="14" s="1"/>
  <c r="C15" i="14" a="1"/>
  <c r="H15" i="14" s="1"/>
  <c r="C12" i="14" a="1"/>
  <c r="H12" i="14" s="1"/>
  <c r="C9" i="14" a="1"/>
  <c r="H9" i="14" s="1"/>
  <c r="C6" i="14" a="1"/>
  <c r="H6" i="14" s="1"/>
  <c r="C3" i="14" a="1"/>
  <c r="H3" i="14" s="1"/>
  <c r="H4" i="14" s="1"/>
  <c r="H1" i="14" l="1"/>
  <c r="C6" i="14"/>
  <c r="C12" i="14"/>
  <c r="G6" i="14"/>
  <c r="G12" i="14"/>
  <c r="E3" i="14"/>
  <c r="E4" i="14" s="1"/>
  <c r="I3" i="14"/>
  <c r="I4" i="14" s="1"/>
  <c r="C3" i="14"/>
  <c r="C4" i="14" s="1"/>
  <c r="G3" i="14"/>
  <c r="G4" i="14" s="1"/>
  <c r="E6" i="14"/>
  <c r="I6" i="14"/>
  <c r="C9" i="14"/>
  <c r="G9" i="14"/>
  <c r="E12" i="14"/>
  <c r="I12" i="14"/>
  <c r="C15" i="14"/>
  <c r="G15" i="14"/>
  <c r="E9" i="14"/>
  <c r="I9" i="14"/>
  <c r="E15" i="14"/>
  <c r="I15" i="14"/>
  <c r="C19" i="14"/>
  <c r="D3" i="14"/>
  <c r="D4" i="14" s="1"/>
  <c r="F3" i="14"/>
  <c r="F4" i="14" s="1"/>
  <c r="D6" i="14"/>
  <c r="F6" i="14"/>
  <c r="D9" i="14"/>
  <c r="F9" i="14"/>
  <c r="D12" i="14"/>
  <c r="F12" i="14"/>
  <c r="D15" i="14"/>
  <c r="F15" i="14"/>
  <c r="F1" i="14" l="1"/>
  <c r="I1" i="14"/>
  <c r="D1" i="14"/>
  <c r="E1" i="14"/>
  <c r="G1" i="14"/>
  <c r="D16" i="14"/>
  <c r="D20" i="14" s="1"/>
  <c r="C13" i="14"/>
  <c r="C10" i="14"/>
  <c r="C7" i="14"/>
  <c r="F13" i="14" l="1"/>
  <c r="H13" i="14"/>
  <c r="D13" i="14"/>
  <c r="H7" i="14"/>
  <c r="F7" i="14"/>
  <c r="D7" i="14"/>
  <c r="I7" i="14"/>
  <c r="G7" i="14"/>
  <c r="E7" i="14"/>
  <c r="H10" i="14"/>
  <c r="D10" i="14"/>
  <c r="I13" i="14"/>
  <c r="G13" i="14"/>
  <c r="E13" i="14"/>
  <c r="F10" i="14"/>
  <c r="I16" i="14"/>
  <c r="G16" i="14"/>
  <c r="E16" i="14"/>
  <c r="C16" i="14"/>
  <c r="C20" i="14" s="1"/>
  <c r="H16" i="14"/>
  <c r="F16" i="14"/>
  <c r="I10" i="14"/>
  <c r="G10" i="14"/>
  <c r="E10" i="14"/>
</calcChain>
</file>

<file path=xl/sharedStrings.xml><?xml version="1.0" encoding="utf-8"?>
<sst xmlns="http://schemas.openxmlformats.org/spreadsheetml/2006/main" count="25" uniqueCount="14">
  <si>
    <t>SUN</t>
  </si>
  <si>
    <t>NOTES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</si>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</sst>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3" x14ac:knownFonts="1">
    <font>
      <sz val="11"/>
      <color theme="4" tint="-0.499984740745262"/>
      <name val="Arial"/>
      <family val="2"/>
      <scheme val="minor"/>
    </font>
    <font>
      <sz val="8"/>
      <name val="Arial"/>
      <family val="2"/>
    </font>
    <font>
      <b/>
      <sz val="11"/>
      <color theme="0"/>
      <name val="Arial"/>
      <family val="2"/>
      <scheme val="minor"/>
    </font>
    <font>
      <b/>
      <sz val="14"/>
      <color theme="0"/>
      <name val="Arial"/>
      <family val="2"/>
      <scheme val="minor"/>
    </font>
    <font>
      <sz val="10"/>
      <color indexed="63"/>
      <name val="Arial"/>
      <family val="2"/>
      <scheme val="minor"/>
    </font>
    <font>
      <sz val="11"/>
      <color theme="4" tint="-0.24994659260841701"/>
      <name val="Arial"/>
      <family val="2"/>
      <scheme val="minor"/>
    </font>
    <font>
      <b/>
      <sz val="11"/>
      <color theme="0" tint="-0.34998626667073579"/>
      <name val="Arial"/>
      <family val="2"/>
      <scheme val="minor"/>
    </font>
    <font>
      <b/>
      <sz val="36"/>
      <color theme="4" tint="-0.24994659260841701"/>
      <name val="Arial"/>
      <family val="2"/>
      <scheme val="major"/>
    </font>
    <font>
      <b/>
      <sz val="25"/>
      <color theme="0" tint="-0.499984740745262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b/>
      <sz val="13"/>
      <color theme="4" tint="-0.499984740745262"/>
      <name val="Arial"/>
      <family val="2"/>
      <scheme val="minor"/>
    </font>
    <font>
      <sz val="11"/>
      <color theme="4" tint="-0.499984740745262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3743705557422"/>
      </bottom>
      <diagonal/>
    </border>
  </borders>
  <cellStyleXfs count="14">
    <xf numFmtId="0" fontId="0" fillId="0" borderId="0">
      <alignment horizontal="left" vertical="center" wrapText="1" indent="1"/>
    </xf>
    <xf numFmtId="0" fontId="4" fillId="2" borderId="0" applyNumberFormat="0" applyBorder="0" applyAlignment="0" applyProtection="0"/>
    <xf numFmtId="0" fontId="8" fillId="0" borderId="0">
      <alignment horizontal="left" vertical="top" indent="1"/>
    </xf>
    <xf numFmtId="0" fontId="2" fillId="3" borderId="1" applyNumberFormat="0" applyAlignment="0" applyProtection="0"/>
    <xf numFmtId="0" fontId="3" fillId="4" borderId="2" applyNumberFormat="0" applyProtection="0">
      <alignment vertical="center"/>
    </xf>
    <xf numFmtId="0" fontId="7" fillId="0" borderId="0">
      <alignment horizontal="left"/>
    </xf>
    <xf numFmtId="0" fontId="9" fillId="0" borderId="0">
      <alignment horizontal="right"/>
    </xf>
    <xf numFmtId="0" fontId="10" fillId="0" borderId="0" applyNumberFormat="0" applyFill="0" applyBorder="0" applyProtection="0">
      <alignment horizontal="right"/>
    </xf>
    <xf numFmtId="0" fontId="11" fillId="0" borderId="0" applyFill="0" applyBorder="0">
      <alignment horizontal="right"/>
    </xf>
    <xf numFmtId="0" fontId="11" fillId="0" borderId="3">
      <alignment horizontal="left" vertical="center" wrapText="1"/>
    </xf>
    <xf numFmtId="0" fontId="5" fillId="5" borderId="0" applyNumberFormat="0" applyFont="0" applyBorder="0" applyAlignment="0">
      <alignment horizontal="left" vertical="center" indent="1"/>
    </xf>
    <xf numFmtId="164" fontId="5" fillId="0" borderId="0" applyFont="0" applyFill="0" applyBorder="0">
      <alignment horizontal="right"/>
    </xf>
    <xf numFmtId="0" fontId="12" fillId="0" borderId="4">
      <alignment horizontal="left" indent="1"/>
    </xf>
    <xf numFmtId="0" fontId="6" fillId="0" borderId="5" applyNumberFormat="0" applyFont="0" applyFill="0" applyAlignment="0">
      <alignment horizontal="left" indent="1"/>
    </xf>
  </cellStyleXfs>
  <cellXfs count="16">
    <xf numFmtId="0" fontId="0" fillId="0" borderId="0" xfId="0">
      <alignment horizontal="left" vertical="center" wrapText="1" indent="1"/>
    </xf>
    <xf numFmtId="0" fontId="9" fillId="0" borderId="0" xfId="6">
      <alignment horizontal="right"/>
    </xf>
    <xf numFmtId="0" fontId="11" fillId="0" borderId="0" xfId="8">
      <alignment horizontal="right"/>
    </xf>
    <xf numFmtId="0" fontId="7" fillId="0" borderId="0" xfId="5">
      <alignment horizontal="left"/>
    </xf>
    <xf numFmtId="0" fontId="12" fillId="0" borderId="4" xfId="12">
      <alignment horizontal="left" indent="1"/>
    </xf>
    <xf numFmtId="0" fontId="8" fillId="0" borderId="0" xfId="2">
      <alignment horizontal="left" vertical="top" indent="1"/>
    </xf>
    <xf numFmtId="0" fontId="11" fillId="5" borderId="0" xfId="8" applyFill="1">
      <alignment horizontal="right"/>
    </xf>
    <xf numFmtId="0" fontId="0" fillId="5" borderId="0" xfId="10" applyFont="1" applyAlignment="1">
      <alignment horizontal="left" vertical="center" wrapText="1" indent="1"/>
    </xf>
    <xf numFmtId="164" fontId="10" fillId="5" borderId="0" xfId="11" applyFont="1" applyFill="1">
      <alignment horizontal="right"/>
    </xf>
    <xf numFmtId="164" fontId="10" fillId="0" borderId="0" xfId="11" applyFont="1">
      <alignment horizontal="right"/>
    </xf>
    <xf numFmtId="0" fontId="0" fillId="0" borderId="0" xfId="0">
      <alignment horizontal="left" vertical="center" wrapText="1" indent="1"/>
    </xf>
    <xf numFmtId="0" fontId="11" fillId="5" borderId="5" xfId="8" applyFill="1" applyBorder="1">
      <alignment horizontal="right"/>
    </xf>
    <xf numFmtId="0" fontId="11" fillId="0" borderId="5" xfId="8" applyBorder="1">
      <alignment horizontal="right"/>
    </xf>
    <xf numFmtId="0" fontId="11" fillId="0" borderId="3" xfId="9" applyNumberFormat="1">
      <alignment horizontal="left" vertical="center" wrapText="1"/>
    </xf>
    <xf numFmtId="0" fontId="0" fillId="5" borderId="0" xfId="10" applyFont="1" applyAlignment="1">
      <alignment horizontal="left" vertical="center" wrapText="1" indent="1"/>
    </xf>
    <xf numFmtId="0" fontId="0" fillId="0" borderId="0" xfId="0">
      <alignment horizontal="left" vertical="center" wrapText="1" indent="1"/>
    </xf>
  </cellXfs>
  <cellStyles count="14">
    <cellStyle name="40% - Accent1" xfId="1" builtinId="31" customBuiltin="1"/>
    <cellStyle name="Accent1" xfId="3" builtinId="29" customBuiltin="1"/>
    <cellStyle name="Accent5" xfId="4" builtinId="45" customBuiltin="1"/>
    <cellStyle name="Bottom Border" xfId="13" xr:uid="{00000000-0005-0000-0000-000003000000}"/>
    <cellStyle name="Day" xfId="11" xr:uid="{00000000-0005-0000-0000-000004000000}"/>
    <cellStyle name="Explanatory Text" xfId="9" builtinId="53" customBuiltin="1"/>
    <cellStyle name="Fill" xfId="10" xr:uid="{00000000-0005-0000-0000-000006000000}"/>
    <cellStyle name="Heading 1" xfId="2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Normal" xfId="0" builtinId="0" customBuiltin="1"/>
    <cellStyle name="Notes" xfId="12" xr:uid="{00000000-0005-0000-0000-00000C000000}"/>
    <cellStyle name="Title" xfId="5" builtinId="15" customBuiltin="1"/>
  </cellStyles>
  <dxfs count="48"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Julian Calendar">
      <a:dk1>
        <a:sysClr val="windowText" lastClr="000000"/>
      </a:dk1>
      <a:lt1>
        <a:sysClr val="window" lastClr="FFFFFF"/>
      </a:lt1>
      <a:dk2>
        <a:srgbClr val="404040"/>
      </a:dk2>
      <a:lt2>
        <a:srgbClr val="F2F2F2"/>
      </a:lt2>
      <a:accent1>
        <a:srgbClr val="47BABA"/>
      </a:accent1>
      <a:accent2>
        <a:srgbClr val="E88D26"/>
      </a:accent2>
      <a:accent3>
        <a:srgbClr val="41B362"/>
      </a:accent3>
      <a:accent4>
        <a:srgbClr val="E65B61"/>
      </a:accent4>
      <a:accent5>
        <a:srgbClr val="7B7AB4"/>
      </a:accent5>
      <a:accent6>
        <a:srgbClr val="F0B11E"/>
      </a:accent6>
      <a:hlink>
        <a:srgbClr val="47BABA"/>
      </a:hlink>
      <a:folHlink>
        <a:srgbClr val="7B7AB4"/>
      </a:folHlink>
    </a:clrScheme>
    <a:fontScheme name="Julian Calendar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  <pageSetUpPr fitToPage="1"/>
  </sheetPr>
  <dimension ref="A1:I20"/>
  <sheetViews>
    <sheetView showGridLines="0" tabSelected="1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</cols>
  <sheetData>
    <row r="1" spans="2:9" ht="41.15" customHeight="1" x14ac:dyDescent="0.9">
      <c r="B1" s="3" t="s">
        <v>2</v>
      </c>
      <c r="C1" s="1" t="s">
        <v>0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YEAR(TODAY())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DaysAndWeeks+DATE(CalendarYear,1,1)-WEEKDAY(DATE(CalendarYear,1,1),(WeekStart="MON")+1)+1</f>
        <v>42736</v>
      </c>
      <c r="D3" s="9">
        <f ca="1"/>
        <v>42737</v>
      </c>
      <c r="E3" s="8">
        <f ca="1"/>
        <v>42738</v>
      </c>
      <c r="F3" s="9">
        <f ca="1"/>
        <v>42739</v>
      </c>
      <c r="G3" s="8">
        <f ca="1"/>
        <v>42740</v>
      </c>
      <c r="H3" s="9">
        <f ca="1"/>
        <v>42741</v>
      </c>
      <c r="I3" s="8">
        <f ca="1"/>
        <v>42742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Week 1/Day 1</v>
      </c>
      <c r="D4" s="12" t="str">
        <f t="shared" ca="1" si="1"/>
        <v>Day 2</v>
      </c>
      <c r="E4" s="11" t="str">
        <f t="shared" ca="1" si="1"/>
        <v>Day 3</v>
      </c>
      <c r="F4" s="12" t="str">
        <f t="shared" ca="1" si="1"/>
        <v>Day 4</v>
      </c>
      <c r="G4" s="11" t="str">
        <f t="shared" ca="1" si="1"/>
        <v>Day 5</v>
      </c>
      <c r="H4" s="12" t="str">
        <f t="shared" ca="1" si="1"/>
        <v>Day 6</v>
      </c>
      <c r="I4" s="11" t="str">
        <f t="shared" ca="1" si="1"/>
        <v>Day 7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DaysAndWeeks+DATE(CalendarYear,1,1)-WEEKDAY(DATE(CalendarYear,1,1),(WeekStart="MON")+1)+8</f>
        <v>42743</v>
      </c>
      <c r="D6" s="9">
        <f ca="1"/>
        <v>42744</v>
      </c>
      <c r="E6" s="8">
        <f ca="1"/>
        <v>42745</v>
      </c>
      <c r="F6" s="9">
        <f ca="1"/>
        <v>42746</v>
      </c>
      <c r="G6" s="8">
        <f ca="1"/>
        <v>42747</v>
      </c>
      <c r="H6" s="9">
        <f ca="1"/>
        <v>42748</v>
      </c>
      <c r="I6" s="8">
        <f ca="1"/>
        <v>42749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2/Day 8</v>
      </c>
      <c r="D7" s="12" t="str">
        <f ca="1">IF(WEEKDAY(CalendarDay)=WeekStartValue,CONCATENATE("Week ",WEEKNUM(CalendarDay),"/Day ",CalendarDay-DATE(YEAR(CalendarDay),1,0)),CONCATENATE("Day ",CalendarDay-DATE(YEAR(CalendarDay),1,0)))</f>
        <v>Day 9</v>
      </c>
      <c r="E7" s="11" t="str">
        <f ca="1">IF(WEEKDAY(CalendarDay)=WeekStartValue,CONCATENATE("Week ",WEEKNUM(CalendarDay),"/Day ",CalendarDay-DATE(YEAR(CalendarDay),1,0)),CONCATENATE("Day ",CalendarDay-DATE(YEAR(CalendarDay),1,0)))</f>
        <v>Day 10</v>
      </c>
      <c r="F7" s="12" t="str">
        <f ca="1">IF(WEEKDAY(CalendarDay)=WeekStartValue,CONCATENATE("Week ",WEEKNUM(CalendarDay),"/Day ",CalendarDay-DATE(YEAR(CalendarDay),1,0)),CONCATENATE("Day ",CalendarDay-DATE(YEAR(CalendarDay),1,0)))</f>
        <v>Day 11</v>
      </c>
      <c r="G7" s="11" t="str">
        <f ca="1">IF(WEEKDAY(CalendarDay)=WeekStartValue,CONCATENATE("Week ",WEEKNUM(CalendarDay),"/Day ",CalendarDay-DATE(YEAR(CalendarDay),1,0)),CONCATENATE("Day ",CalendarDay-DATE(YEAR(CalendarDay),1,0)))</f>
        <v>Day 12</v>
      </c>
      <c r="H7" s="12" t="str">
        <f ca="1">IF(WEEKDAY(CalendarDay)=WeekStartValue,CONCATENATE("Week ",WEEKNUM(CalendarDay),"/Day ",CalendarDay-DATE(YEAR(CalendarDay),1,0)),CONCATENATE("Day ",CalendarDay-DATE(YEAR(CalendarDay),1,0)))</f>
        <v>Day 13</v>
      </c>
      <c r="I7" s="11" t="str">
        <f ca="1">IF(WEEKDAY(CalendarDay)=WeekStartValue,CONCATENATE("Week ",WEEKNUM(CalendarDay),"/Day ",CalendarDay-DATE(YEAR(CalendarDay),1,0)),CONCATENATE("Day ",CalendarDay-DATE(YEAR(CalendarDay),1,0)))</f>
        <v>Day 14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DaysAndWeeks+DATE(CalendarYear,1,1)-WEEKDAY(DATE(CalendarYear,1,1),(WeekStart="MON")+1)+15</f>
        <v>42750</v>
      </c>
      <c r="D9" s="9">
        <f ca="1"/>
        <v>42751</v>
      </c>
      <c r="E9" s="8">
        <f ca="1"/>
        <v>42752</v>
      </c>
      <c r="F9" s="9">
        <f ca="1"/>
        <v>42753</v>
      </c>
      <c r="G9" s="8">
        <f ca="1"/>
        <v>42754</v>
      </c>
      <c r="H9" s="9">
        <f ca="1"/>
        <v>42755</v>
      </c>
      <c r="I9" s="8">
        <f ca="1"/>
        <v>42756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3/Day 15</v>
      </c>
      <c r="D10" s="12" t="str">
        <f ca="1">IF(WEEKDAY(CalendarDay)=WeekStartValue,CONCATENATE("Week ",WEEKNUM(CalendarDay),"/Day ",CalendarDay-DATE(YEAR(CalendarDay),1,0)),CONCATENATE("Day ",CalendarDay-DATE(YEAR(CalendarDay),1,0)))</f>
        <v>Day 16</v>
      </c>
      <c r="E10" s="11" t="str">
        <f ca="1">IF(WEEKDAY(CalendarDay)=WeekStartValue,CONCATENATE("Week ",WEEKNUM(CalendarDay),"/Day ",CalendarDay-DATE(YEAR(CalendarDay),1,0)),CONCATENATE("Day ",CalendarDay-DATE(YEAR(CalendarDay),1,0)))</f>
        <v>Day 17</v>
      </c>
      <c r="F10" s="12" t="str">
        <f ca="1">IF(WEEKDAY(CalendarDay)=WeekStartValue,CONCATENATE("Week ",WEEKNUM(CalendarDay),"/Day ",CalendarDay-DATE(YEAR(CalendarDay),1,0)),CONCATENATE("Day ",CalendarDay-DATE(YEAR(CalendarDay),1,0)))</f>
        <v>Day 18</v>
      </c>
      <c r="G10" s="11" t="str">
        <f ca="1">IF(WEEKDAY(CalendarDay)=WeekStartValue,CONCATENATE("Week ",WEEKNUM(CalendarDay),"/Day ",CalendarDay-DATE(YEAR(CalendarDay),1,0)),CONCATENATE("Day ",CalendarDay-DATE(YEAR(CalendarDay),1,0)))</f>
        <v>Day 19</v>
      </c>
      <c r="H10" s="12" t="str">
        <f ca="1">IF(WEEKDAY(CalendarDay)=WeekStartValue,CONCATENATE("Week ",WEEKNUM(CalendarDay),"/Day ",CalendarDay-DATE(YEAR(CalendarDay),1,0)),CONCATENATE("Day ",CalendarDay-DATE(YEAR(CalendarDay),1,0)))</f>
        <v>Day 20</v>
      </c>
      <c r="I10" s="11" t="str">
        <f ca="1">IF(WEEKDAY(CalendarDay)=WeekStartValue,CONCATENATE("Week ",WEEKNUM(CalendarDay),"/Day ",CalendarDay-DATE(YEAR(CalendarDay),1,0)),CONCATENATE("Day ",CalendarDay-DATE(YEAR(CalendarDay),1,0)))</f>
        <v>Day 21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DaysAndWeeks+DATE(CalendarYear,1,1)-WEEKDAY(DATE(CalendarYear,1,1),(WeekStart="MON")+1)+22</f>
        <v>42757</v>
      </c>
      <c r="D12" s="9">
        <f ca="1"/>
        <v>42758</v>
      </c>
      <c r="E12" s="8">
        <f ca="1"/>
        <v>42759</v>
      </c>
      <c r="F12" s="9">
        <f ca="1"/>
        <v>42760</v>
      </c>
      <c r="G12" s="8">
        <f ca="1"/>
        <v>42761</v>
      </c>
      <c r="H12" s="9">
        <f ca="1"/>
        <v>42762</v>
      </c>
      <c r="I12" s="8">
        <f ca="1"/>
        <v>42763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4/Day 22</v>
      </c>
      <c r="D13" s="12" t="str">
        <f ca="1">IF(WEEKDAY(CalendarDay)=WeekStartValue,CONCATENATE("Week ",WEEKNUM(CalendarDay),"/Day ",CalendarDay-DATE(YEAR(CalendarDay),1,0)),CONCATENATE("Day ",CalendarDay-DATE(YEAR(CalendarDay),1,0)))</f>
        <v>Day 23</v>
      </c>
      <c r="E13" s="11" t="str">
        <f ca="1">IF(WEEKDAY(CalendarDay)=WeekStartValue,CONCATENATE("Week ",WEEKNUM(CalendarDay),"/Day ",CalendarDay-DATE(YEAR(CalendarDay),1,0)),CONCATENATE("Day ",CalendarDay-DATE(YEAR(CalendarDay),1,0)))</f>
        <v>Day 24</v>
      </c>
      <c r="F13" s="12" t="str">
        <f ca="1">IF(WEEKDAY(CalendarDay)=WeekStartValue,CONCATENATE("Week ",WEEKNUM(CalendarDay),"/Day ",CalendarDay-DATE(YEAR(CalendarDay),1,0)),CONCATENATE("Day ",CalendarDay-DATE(YEAR(CalendarDay),1,0)))</f>
        <v>Day 25</v>
      </c>
      <c r="G13" s="11" t="str">
        <f ca="1">IF(WEEKDAY(CalendarDay)=WeekStartValue,CONCATENATE("Week ",WEEKNUM(CalendarDay),"/Day ",CalendarDay-DATE(YEAR(CalendarDay),1,0)),CONCATENATE("Day ",CalendarDay-DATE(YEAR(CalendarDay),1,0)))</f>
        <v>Day 26</v>
      </c>
      <c r="H13" s="12" t="str">
        <f ca="1">IF(WEEKDAY(CalendarDay)=WeekStartValue,CONCATENATE("Week ",WEEKNUM(CalendarDay),"/Day ",CalendarDay-DATE(YEAR(CalendarDay),1,0)),CONCATENATE("Day ",CalendarDay-DATE(YEAR(CalendarDay),1,0)))</f>
        <v>Day 27</v>
      </c>
      <c r="I13" s="11" t="str">
        <f ca="1">IF(WEEKDAY(CalendarDay)=WeekStartValue,CONCATENATE("Week ",WEEKNUM(CalendarDay),"/Day ",CalendarDay-DATE(YEAR(CalendarDay),1,0)),CONCATENATE("Day ",CalendarDay-DATE(YEAR(CalendarDay),1,0)))</f>
        <v>Day 28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DaysAndWeeks+DATE(CalendarYear,1,1)-WEEKDAY(DATE(CalendarYear,1,1),(WeekStart="MON")+1)+29</f>
        <v>42764</v>
      </c>
      <c r="D15" s="9">
        <f ca="1"/>
        <v>42765</v>
      </c>
      <c r="E15" s="8">
        <f ca="1"/>
        <v>42766</v>
      </c>
      <c r="F15" s="9">
        <f ca="1"/>
        <v>42767</v>
      </c>
      <c r="G15" s="8">
        <f ca="1"/>
        <v>42768</v>
      </c>
      <c r="H15" s="9">
        <f ca="1"/>
        <v>42769</v>
      </c>
      <c r="I15" s="8">
        <f ca="1"/>
        <v>42770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5/Day 29</v>
      </c>
      <c r="D16" s="12" t="str">
        <f ca="1">IF(WEEKDAY(CalendarDay)=WeekStartValue,CONCATENATE("Week ",WEEKNUM(CalendarDay),"/Day ",CalendarDay-DATE(YEAR(CalendarDay),1,0)),CONCATENATE("Day ",CalendarDay-DATE(YEAR(CalendarDay),1,0)))</f>
        <v>Day 30</v>
      </c>
      <c r="E16" s="11" t="str">
        <f ca="1">IF(WEEKDAY(CalendarDay)=WeekStartValue,CONCATENATE("Week ",WEEKNUM(CalendarDay),"/Day ",CalendarDay-DATE(YEAR(CalendarDay),1,0)),CONCATENATE("Day ",CalendarDay-DATE(YEAR(CalendarDay),1,0)))</f>
        <v>Day 31</v>
      </c>
      <c r="F16" s="12" t="str">
        <f ca="1">IF(WEEKDAY(CalendarDay)=WeekStartValue,CONCATENATE("Week ",WEEKNUM(CalendarDay),"/Day ",CalendarDay-DATE(YEAR(CalendarDay),1,0)),CONCATENATE("Day ",CalendarDay-DATE(YEAR(CalendarDay),1,0)))</f>
        <v>Day 32</v>
      </c>
      <c r="G16" s="11" t="str">
        <f ca="1">IF(WEEKDAY(CalendarDay)=WeekStartValue,CONCATENATE("Week ",WEEKNUM(CalendarDay),"/Day ",CalendarDay-DATE(YEAR(CalendarDay),1,0)),CONCATENATE("Day ",CalendarDay-DATE(YEAR(CalendarDay),1,0)))</f>
        <v>Day 33</v>
      </c>
      <c r="H16" s="12" t="str">
        <f ca="1">IF(WEEKDAY(CalendarDay)=WeekStartValue,CONCATENATE("Week ",WEEKNUM(CalendarDay),"/Day ",CalendarDay-DATE(YEAR(CalendarDay),1,0)),CONCATENATE("Day ",CalendarDay-DATE(YEAR(CalendarDay),1,0)))</f>
        <v>Day 34</v>
      </c>
      <c r="I16" s="11" t="str">
        <f ca="1">IF(WEEKDAY(CalendarDay)=WeekStartValue,CONCATENATE("Week ",WEEKNUM(CalendarDay),"/Day ",CalendarDay-DATE(YEAR(CalendarDay),1,0)),CONCATENATE("Day ",CalendarDay-DATE(YEAR(CalendarDay),1,0)))</f>
        <v>Day 35</v>
      </c>
    </row>
    <row r="17" spans="3:9" ht="15" customHeight="1" x14ac:dyDescent="0.3">
      <c r="C17" s="14"/>
      <c r="D17" s="15"/>
      <c r="E17" s="4" t="s">
        <v>1</v>
      </c>
      <c r="F17"/>
      <c r="G17"/>
      <c r="H17"/>
      <c r="I17"/>
    </row>
    <row r="18" spans="3:9" ht="41.25" customHeight="1" x14ac:dyDescent="0.3">
      <c r="C18" s="14"/>
      <c r="D18" s="15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DaysAndWeeks+DATE(CalendarYear,1,1)-WEEKDAY(DATE(CalendarYear,1,1),(WeekStart="MON")+1)+36</f>
        <v>42771</v>
      </c>
      <c r="D19" s="9">
        <f ca="1"/>
        <v>42772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6/Day 36</v>
      </c>
      <c r="D20" s="2" t="str">
        <f ca="1">IF(WEEKDAY(CalendarDay)=WeekStartValue,CONCATENATE("Week ",WEEKNUM(CalendarDay),"/Day ",CalendarDay-DATE(YEAR(CalendarDay),1,0)),CONCATENATE("Day ",CalendarDay-DATE(YEAR(CalendarDay),1,0)))</f>
        <v>Day 37</v>
      </c>
      <c r="E20" s="13"/>
      <c r="F20" s="13"/>
      <c r="G20" s="13"/>
      <c r="H20" s="13"/>
      <c r="I20" s="13"/>
    </row>
  </sheetData>
  <mergeCells count="3">
    <mergeCell ref="E18:I20"/>
    <mergeCell ref="C17:C18"/>
    <mergeCell ref="D17:D18"/>
  </mergeCells>
  <phoneticPr fontId="1" type="noConversion"/>
  <conditionalFormatting sqref="C15:I15 C19:D19">
    <cfRule type="expression" dxfId="47" priority="5">
      <formula>AND(DAY(C15)&gt;=1,DAY(C15)&lt;=15)</formula>
    </cfRule>
  </conditionalFormatting>
  <conditionalFormatting sqref="C3:H3">
    <cfRule type="expression" dxfId="46" priority="4">
      <formula>DAY(C3)&gt;8</formula>
    </cfRule>
  </conditionalFormatting>
  <conditionalFormatting sqref="C16:I16 C20:D20 C17:D17 F17:I17">
    <cfRule type="expression" dxfId="45" priority="7">
      <formula>AND(DAY(C15)&gt;=1,DAY(C15)&lt;=15)</formula>
    </cfRule>
  </conditionalFormatting>
  <conditionalFormatting sqref="C4:I4">
    <cfRule type="expression" dxfId="44" priority="1">
      <formula>DAY(C3)&gt;8</formula>
    </cfRule>
  </conditionalFormatting>
  <dataValidations count="10">
    <dataValidation type="list" errorStyle="warning" allowBlank="1" showInputMessage="1" showErrorMessage="1" error="Select a Week Start day from the list. Select CANCEL, then press ALT+DOWN ARROW for options, then DOWN ARROW and ENTER to make selection" prompt="Select Week Start day in this cell. Press ALT+DOWN ARROW for options, then DOWN ARROW and ENTER to make selection" sqref="C1" xr:uid="{00000000-0002-0000-0000-000000000000}">
      <formula1>"SUN,MON"</formula1>
    </dataValidation>
    <dataValidation allowBlank="1" showInputMessage="1" showErrorMessage="1" prompt="Create a Julian Calendar for any year in this workbook. Customize Year in cell B2 and starting day of the week in cell C1. Each month is on a separate worksheet" sqref="A1" xr:uid="{00000000-0002-0000-0000-000001000000}"/>
    <dataValidation allowBlank="1" showInputMessage="1" showErrorMessage="1" prompt="Enter Year in this cell" sqref="B2" xr:uid="{00000000-0002-0000-0000-000002000000}"/>
    <dataValidation allowBlank="1" showInputMessage="1" showErrorMessage="1" prompt="Month of worksheet is in this cell. Calendar starts in cell at right &amp; contains dates from previous, current, &amp; next month. Enter Year in cell below and monthly notes in cell E18" sqref="B1" xr:uid="{00000000-0002-0000-0000-000003000000}"/>
    <dataValidation allowBlank="1" showInputMessage="1" showErrorMessage="1" prompt="Weekdays in this and cells at right are automatically determined based on Week Start day entered in cell C1" sqref="D1" xr:uid="{00000000-0002-0000-0000-000004000000}"/>
    <dataValidation allowBlank="1" showInputMessage="1" showErrorMessage="1" prompt="Calendar day in this and rows 6, 9, 12, 15 &amp; 19, are automatically updated. If this cell doesn’t contain number 01, then it is a previous month's day" sqref="C3" xr:uid="{00000000-0002-0000-0000-000005000000}"/>
    <dataValidation allowBlank="1" showInputMessage="1" showErrorMessage="1" prompt="Enter daily notes based on the calendar day in cells below in this and rows 5, 8, 11, 14 and 17, columns C to I" sqref="C2" xr:uid="{00000000-0002-0000-0000-000006000000}"/>
    <dataValidation allowBlank="1" showInputMessage="1" showErrorMessage="1" prompt="Week and/or day count in this and rows 7, 10, 13, 16 &amp; 20, are automatically updated" sqref="C4" xr:uid="{00000000-0002-0000-0000-000007000000}"/>
    <dataValidation allowBlank="1" showInputMessage="1" showErrorMessage="1" prompt="Enter Notes in cell below" sqref="E17" xr:uid="{00000000-0002-0000-0000-000008000000}"/>
    <dataValidation allowBlank="1" showInputMessage="1" showErrorMessage="1" prompt="Enter Notes in this cell" sqref="E18:I20" xr:uid="{00000000-0002-0000-0000-000009000000}"/>
  </dataValidations>
  <printOptions horizontalCentered="1" verticalCentered="1"/>
  <pageMargins left="0.25" right="0.25" top="0.75" bottom="0.75" header="0.3" footer="0.3"/>
  <pageSetup scale="87" orientation="landscape" r:id="rId1"/>
  <headerFooter differentFirst="1">
    <oddFooter>Page &amp;P of &amp;N</oddFooter>
  </headerFooter>
  <customProperties>
    <customPr name="SheetChanged" r:id="rId2"/>
  </customPropertie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</cols>
  <sheetData>
    <row r="1" spans="2:9" ht="41.15" customHeight="1" x14ac:dyDescent="0.9">
      <c r="B1" s="3" t="s">
        <v>3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DaysAndWeeks+DATE(CalendarYear,2,1)-WEEKDAY(DATE(CalendarYear,2,1),(WeekStart="MON")+1)+1</f>
        <v>42764</v>
      </c>
      <c r="D3" s="9">
        <f ca="1"/>
        <v>42765</v>
      </c>
      <c r="E3" s="8">
        <f ca="1"/>
        <v>42766</v>
      </c>
      <c r="F3" s="9">
        <f ca="1"/>
        <v>42767</v>
      </c>
      <c r="G3" s="8">
        <f ca="1"/>
        <v>42768</v>
      </c>
      <c r="H3" s="9">
        <f ca="1"/>
        <v>42769</v>
      </c>
      <c r="I3" s="8">
        <f ca="1"/>
        <v>42770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29</v>
      </c>
      <c r="D4" s="12" t="str">
        <f t="shared" ca="1" si="1"/>
        <v>Day 30</v>
      </c>
      <c r="E4" s="11" t="str">
        <f t="shared" ca="1" si="1"/>
        <v>Day 31</v>
      </c>
      <c r="F4" s="12" t="str">
        <f t="shared" ca="1" si="1"/>
        <v>Week 5/Day 32</v>
      </c>
      <c r="G4" s="11" t="str">
        <f t="shared" ca="1" si="1"/>
        <v>Day 33</v>
      </c>
      <c r="H4" s="12" t="str">
        <f t="shared" ca="1" si="1"/>
        <v>Day 34</v>
      </c>
      <c r="I4" s="11" t="str">
        <f t="shared" ca="1" si="1"/>
        <v>Day 35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DaysAndWeeks+DATE(CalendarYear,2,1)-WEEKDAY(DATE(CalendarYear,2,1),(WeekStart="MON")+1)+8</f>
        <v>42771</v>
      </c>
      <c r="D6" s="9">
        <f ca="1"/>
        <v>42772</v>
      </c>
      <c r="E6" s="8">
        <f ca="1"/>
        <v>42773</v>
      </c>
      <c r="F6" s="9">
        <f ca="1"/>
        <v>42774</v>
      </c>
      <c r="G6" s="8">
        <f ca="1"/>
        <v>42775</v>
      </c>
      <c r="H6" s="9">
        <f ca="1"/>
        <v>42776</v>
      </c>
      <c r="I6" s="8">
        <f ca="1"/>
        <v>42777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6/Day 36</v>
      </c>
      <c r="D7" s="12" t="str">
        <f ca="1">IF(WEEKDAY(CalendarDay)=WeekStartValue,CONCATENATE("Week ",WEEKNUM(CalendarDay),"/Day ",CalendarDay-DATE(YEAR(CalendarDay),1,0)),CONCATENATE("Day ",CalendarDay-DATE(YEAR(CalendarDay),1,0)))</f>
        <v>Day 37</v>
      </c>
      <c r="E7" s="11" t="str">
        <f ca="1">IF(WEEKDAY(CalendarDay)=WeekStartValue,CONCATENATE("Week ",WEEKNUM(CalendarDay),"/Day ",CalendarDay-DATE(YEAR(CalendarDay),1,0)),CONCATENATE("Day ",CalendarDay-DATE(YEAR(CalendarDay),1,0)))</f>
        <v>Day 38</v>
      </c>
      <c r="F7" s="12" t="str">
        <f ca="1">IF(WEEKDAY(CalendarDay)=WeekStartValue,CONCATENATE("Week ",WEEKNUM(CalendarDay),"/Day ",CalendarDay-DATE(YEAR(CalendarDay),1,0)),CONCATENATE("Day ",CalendarDay-DATE(YEAR(CalendarDay),1,0)))</f>
        <v>Day 39</v>
      </c>
      <c r="G7" s="11" t="str">
        <f ca="1">IF(WEEKDAY(CalendarDay)=WeekStartValue,CONCATENATE("Week ",WEEKNUM(CalendarDay),"/Day ",CalendarDay-DATE(YEAR(CalendarDay),1,0)),CONCATENATE("Day ",CalendarDay-DATE(YEAR(CalendarDay),1,0)))</f>
        <v>Day 40</v>
      </c>
      <c r="H7" s="12" t="str">
        <f ca="1">IF(WEEKDAY(CalendarDay)=WeekStartValue,CONCATENATE("Week ",WEEKNUM(CalendarDay),"/Day ",CalendarDay-DATE(YEAR(CalendarDay),1,0)),CONCATENATE("Day ",CalendarDay-DATE(YEAR(CalendarDay),1,0)))</f>
        <v>Day 41</v>
      </c>
      <c r="I7" s="11" t="str">
        <f ca="1">IF(WEEKDAY(CalendarDay)=WeekStartValue,CONCATENATE("Week ",WEEKNUM(CalendarDay),"/Day ",CalendarDay-DATE(YEAR(CalendarDay),1,0)),CONCATENATE("Day ",CalendarDay-DATE(YEAR(CalendarDay),1,0)))</f>
        <v>Day 42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DaysAndWeeks+DATE(CalendarYear,2,1)-WEEKDAY(DATE(CalendarYear,2,1),(WeekStart="MON")+1)+15</f>
        <v>42778</v>
      </c>
      <c r="D9" s="9">
        <f ca="1"/>
        <v>42779</v>
      </c>
      <c r="E9" s="8">
        <f ca="1"/>
        <v>42780</v>
      </c>
      <c r="F9" s="9">
        <f ca="1"/>
        <v>42781</v>
      </c>
      <c r="G9" s="8">
        <f ca="1"/>
        <v>42782</v>
      </c>
      <c r="H9" s="9">
        <f ca="1"/>
        <v>42783</v>
      </c>
      <c r="I9" s="8">
        <f ca="1"/>
        <v>42784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7/Day 43</v>
      </c>
      <c r="D10" s="12" t="str">
        <f ca="1">IF(WEEKDAY(CalendarDay)=WeekStartValue,CONCATENATE("Week ",WEEKNUM(CalendarDay),"/Day ",CalendarDay-DATE(YEAR(CalendarDay),1,0)),CONCATENATE("Day ",CalendarDay-DATE(YEAR(CalendarDay),1,0)))</f>
        <v>Day 44</v>
      </c>
      <c r="E10" s="11" t="str">
        <f ca="1">IF(WEEKDAY(CalendarDay)=WeekStartValue,CONCATENATE("Week ",WEEKNUM(CalendarDay),"/Day ",CalendarDay-DATE(YEAR(CalendarDay),1,0)),CONCATENATE("Day ",CalendarDay-DATE(YEAR(CalendarDay),1,0)))</f>
        <v>Day 45</v>
      </c>
      <c r="F10" s="12" t="str">
        <f ca="1">IF(WEEKDAY(CalendarDay)=WeekStartValue,CONCATENATE("Week ",WEEKNUM(CalendarDay),"/Day ",CalendarDay-DATE(YEAR(CalendarDay),1,0)),CONCATENATE("Day ",CalendarDay-DATE(YEAR(CalendarDay),1,0)))</f>
        <v>Day 46</v>
      </c>
      <c r="G10" s="11" t="str">
        <f ca="1">IF(WEEKDAY(CalendarDay)=WeekStartValue,CONCATENATE("Week ",WEEKNUM(CalendarDay),"/Day ",CalendarDay-DATE(YEAR(CalendarDay),1,0)),CONCATENATE("Day ",CalendarDay-DATE(YEAR(CalendarDay),1,0)))</f>
        <v>Day 47</v>
      </c>
      <c r="H10" s="12" t="str">
        <f ca="1">IF(WEEKDAY(CalendarDay)=WeekStartValue,CONCATENATE("Week ",WEEKNUM(CalendarDay),"/Day ",CalendarDay-DATE(YEAR(CalendarDay),1,0)),CONCATENATE("Day ",CalendarDay-DATE(YEAR(CalendarDay),1,0)))</f>
        <v>Day 48</v>
      </c>
      <c r="I10" s="11" t="str">
        <f ca="1">IF(WEEKDAY(CalendarDay)=WeekStartValue,CONCATENATE("Week ",WEEKNUM(CalendarDay),"/Day ",CalendarDay-DATE(YEAR(CalendarDay),1,0)),CONCATENATE("Day ",CalendarDay-DATE(YEAR(CalendarDay),1,0)))</f>
        <v>Day 49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DaysAndWeeks+DATE(CalendarYear,2,1)-WEEKDAY(DATE(CalendarYear,2,1),(WeekStart="MON")+1)+22</f>
        <v>42785</v>
      </c>
      <c r="D12" s="9">
        <f ca="1"/>
        <v>42786</v>
      </c>
      <c r="E12" s="8">
        <f ca="1"/>
        <v>42787</v>
      </c>
      <c r="F12" s="9">
        <f ca="1"/>
        <v>42788</v>
      </c>
      <c r="G12" s="8">
        <f ca="1"/>
        <v>42789</v>
      </c>
      <c r="H12" s="9">
        <f ca="1"/>
        <v>42790</v>
      </c>
      <c r="I12" s="8">
        <f ca="1"/>
        <v>42791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8/Day 50</v>
      </c>
      <c r="D13" s="12" t="str">
        <f ca="1">IF(WEEKDAY(CalendarDay)=WeekStartValue,CONCATENATE("Week ",WEEKNUM(CalendarDay),"/Day ",CalendarDay-DATE(YEAR(CalendarDay),1,0)),CONCATENATE("Day ",CalendarDay-DATE(YEAR(CalendarDay),1,0)))</f>
        <v>Day 51</v>
      </c>
      <c r="E13" s="11" t="str">
        <f ca="1">IF(WEEKDAY(CalendarDay)=WeekStartValue,CONCATENATE("Week ",WEEKNUM(CalendarDay),"/Day ",CalendarDay-DATE(YEAR(CalendarDay),1,0)),CONCATENATE("Day ",CalendarDay-DATE(YEAR(CalendarDay),1,0)))</f>
        <v>Day 52</v>
      </c>
      <c r="F13" s="12" t="str">
        <f ca="1">IF(WEEKDAY(CalendarDay)=WeekStartValue,CONCATENATE("Week ",WEEKNUM(CalendarDay),"/Day ",CalendarDay-DATE(YEAR(CalendarDay),1,0)),CONCATENATE("Day ",CalendarDay-DATE(YEAR(CalendarDay),1,0)))</f>
        <v>Day 53</v>
      </c>
      <c r="G13" s="11" t="str">
        <f ca="1">IF(WEEKDAY(CalendarDay)=WeekStartValue,CONCATENATE("Week ",WEEKNUM(CalendarDay),"/Day ",CalendarDay-DATE(YEAR(CalendarDay),1,0)),CONCATENATE("Day ",CalendarDay-DATE(YEAR(CalendarDay),1,0)))</f>
        <v>Day 54</v>
      </c>
      <c r="H13" s="12" t="str">
        <f ca="1">IF(WEEKDAY(CalendarDay)=WeekStartValue,CONCATENATE("Week ",WEEKNUM(CalendarDay),"/Day ",CalendarDay-DATE(YEAR(CalendarDay),1,0)),CONCATENATE("Day ",CalendarDay-DATE(YEAR(CalendarDay),1,0)))</f>
        <v>Day 55</v>
      </c>
      <c r="I13" s="11" t="str">
        <f ca="1">IF(WEEKDAY(CalendarDay)=WeekStartValue,CONCATENATE("Week ",WEEKNUM(CalendarDay),"/Day ",CalendarDay-DATE(YEAR(CalendarDay),1,0)),CONCATENATE("Day ",CalendarDay-DATE(YEAR(CalendarDay),1,0)))</f>
        <v>Day 56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DaysAndWeeks+DATE(CalendarYear,2,1)-WEEKDAY(DATE(CalendarYear,2,1),(WeekStart="MON")+1)+29</f>
        <v>42792</v>
      </c>
      <c r="D15" s="9">
        <f ca="1"/>
        <v>42793</v>
      </c>
      <c r="E15" s="8">
        <f ca="1"/>
        <v>42794</v>
      </c>
      <c r="F15" s="9">
        <f ca="1"/>
        <v>42795</v>
      </c>
      <c r="G15" s="8">
        <f ca="1"/>
        <v>42796</v>
      </c>
      <c r="H15" s="9">
        <f ca="1"/>
        <v>42797</v>
      </c>
      <c r="I15" s="8">
        <f ca="1"/>
        <v>42798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9/Day 57</v>
      </c>
      <c r="D16" s="12" t="str">
        <f ca="1">IF(WEEKDAY(CalendarDay)=WeekStartValue,CONCATENATE("Week ",WEEKNUM(CalendarDay),"/Day ",CalendarDay-DATE(YEAR(CalendarDay),1,0)),CONCATENATE("Day ",CalendarDay-DATE(YEAR(CalendarDay),1,0)))</f>
        <v>Day 58</v>
      </c>
      <c r="E16" s="11" t="str">
        <f ca="1">IF(WEEKDAY(CalendarDay)=WeekStartValue,CONCATENATE("Week ",WEEKNUM(CalendarDay),"/Day ",CalendarDay-DATE(YEAR(CalendarDay),1,0)),CONCATENATE("Day ",CalendarDay-DATE(YEAR(CalendarDay),1,0)))</f>
        <v>Day 59</v>
      </c>
      <c r="F16" s="12" t="str">
        <f ca="1">IF(WEEKDAY(CalendarDay)=WeekStartValue,CONCATENATE("Week ",WEEKNUM(CalendarDay),"/Day ",CalendarDay-DATE(YEAR(CalendarDay),1,0)),CONCATENATE("Day ",CalendarDay-DATE(YEAR(CalendarDay),1,0)))</f>
        <v>Day 60</v>
      </c>
      <c r="G16" s="11" t="str">
        <f ca="1">IF(WEEKDAY(CalendarDay)=WeekStartValue,CONCATENATE("Week ",WEEKNUM(CalendarDay),"/Day ",CalendarDay-DATE(YEAR(CalendarDay),1,0)),CONCATENATE("Day ",CalendarDay-DATE(YEAR(CalendarDay),1,0)))</f>
        <v>Day 61</v>
      </c>
      <c r="H16" s="12" t="str">
        <f ca="1">IF(WEEKDAY(CalendarDay)=WeekStartValue,CONCATENATE("Week ",WEEKNUM(CalendarDay),"/Day ",CalendarDay-DATE(YEAR(CalendarDay),1,0)),CONCATENATE("Day ",CalendarDay-DATE(YEAR(CalendarDay),1,0)))</f>
        <v>Day 62</v>
      </c>
      <c r="I16" s="11" t="str">
        <f ca="1">IF(WEEKDAY(CalendarDay)=WeekStartValue,CONCATENATE("Week ",WEEKNUM(CalendarDay),"/Day ",CalendarDay-DATE(YEAR(CalendarDay),1,0)),CONCATENATE("Day ",CalendarDay-DATE(YEAR(CalendarDay),1,0)))</f>
        <v>Day 63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DaysAndWeeks+DATE(CalendarYear,2,1)-WEEKDAY(DATE(CalendarYear,2,1),(WeekStart="MON")+1)+36</f>
        <v>42799</v>
      </c>
      <c r="D19" s="9">
        <f ca="1"/>
        <v>42800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10/Day 64</v>
      </c>
      <c r="D20" s="2" t="str">
        <f ca="1">IF(WEEKDAY(CalendarDay)=WeekStartValue,CONCATENATE("Week ",WEEKNUM(CalendarDay),"/Day ",CalendarDay-DATE(YEAR(CalendarDay),1,0)),CONCATENATE("Day ",CalendarDay-DATE(YEAR(CalendarDay),1,0)))</f>
        <v>Day 65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43" priority="2">
      <formula>AND(DAY(C15)&gt;=1,DAY(C15)&lt;=15)</formula>
    </cfRule>
  </conditionalFormatting>
  <conditionalFormatting sqref="C3:H3">
    <cfRule type="expression" dxfId="42" priority="1">
      <formula>DAY(C3)&gt;8</formula>
    </cfRule>
  </conditionalFormatting>
  <conditionalFormatting sqref="C4:I4">
    <cfRule type="expression" dxfId="41" priority="3">
      <formula>DAY(C3)&gt;8</formula>
    </cfRule>
  </conditionalFormatting>
  <conditionalFormatting sqref="C16:I16 C20:D20 C17:D17 F17:I17">
    <cfRule type="expression" dxfId="40" priority="4">
      <formula>AND(DAY(C15)&gt;=1,DAY(C15)&lt;=15)</formula>
    </cfRule>
  </conditionalFormatting>
  <dataValidations count="9">
    <dataValidation allowBlank="1" showInputMessage="1" showErrorMessage="1" prompt="February month calendar" sqref="A1" xr:uid="{00000000-0002-0000-0100-000000000000}"/>
    <dataValidation allowBlank="1" showInputMessage="1" showErrorMessage="1" prompt="Year in this cell is automatically updated based on year entered in January worksheet" sqref="B2" xr:uid="{00000000-0002-0000-0100-000001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100-000002000000}"/>
    <dataValidation allowBlank="1" showInputMessage="1" showErrorMessage="1" prompt="Enter daily notes based on the calendar day in below cells in this and rows 5, 8, 11, 14 and 17, columns C to I" sqref="C2" xr:uid="{00000000-0002-0000-0100-000003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100-000004000000}"/>
    <dataValidation allowBlank="1" showInputMessage="1" showErrorMessage="1" prompt="Week and/or day count in this and rows 7, 10, 13, 16 &amp; 20, are automatically updated" sqref="C4" xr:uid="{00000000-0002-0000-0100-000005000000}"/>
    <dataValidation allowBlank="1" showInputMessage="1" showErrorMessage="1" prompt="Enter Notes in cell below" sqref="E17" xr:uid="{00000000-0002-0000-0100-000006000000}"/>
    <dataValidation allowBlank="1" showInputMessage="1" showErrorMessage="1" prompt="Enter Notes in this cell" sqref="E18:I20" xr:uid="{00000000-0002-0000-0100-000007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100-000008000000}"/>
  </dataValidations>
  <printOptions horizontalCentered="1" verticalCentered="1"/>
  <pageMargins left="0.25" right="0.25" top="0.75" bottom="0.75" header="0.3" footer="0.3"/>
  <pageSetup scale="87" orientation="landscape" r:id="rId1"/>
  <headerFooter differentFirst="1">
    <oddFooter>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4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DaysAndWeeks+DATE(CalendarYear,3,1)-WEEKDAY(DATE(CalendarYear,3,1),(WeekStart="MON")+1)+1</f>
        <v>42792</v>
      </c>
      <c r="D3" s="9">
        <f ca="1"/>
        <v>42793</v>
      </c>
      <c r="E3" s="8">
        <f ca="1"/>
        <v>42794</v>
      </c>
      <c r="F3" s="9">
        <f ca="1"/>
        <v>42795</v>
      </c>
      <c r="G3" s="8">
        <f ca="1"/>
        <v>42796</v>
      </c>
      <c r="H3" s="9">
        <f ca="1"/>
        <v>42797</v>
      </c>
      <c r="I3" s="8">
        <f ca="1"/>
        <v>42798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57</v>
      </c>
      <c r="D4" s="12" t="str">
        <f t="shared" ca="1" si="1"/>
        <v>Day 58</v>
      </c>
      <c r="E4" s="11" t="str">
        <f t="shared" ca="1" si="1"/>
        <v>Day 59</v>
      </c>
      <c r="F4" s="12" t="str">
        <f t="shared" ca="1" si="1"/>
        <v>Week 9/Day 60</v>
      </c>
      <c r="G4" s="11" t="str">
        <f t="shared" ca="1" si="1"/>
        <v>Day 61</v>
      </c>
      <c r="H4" s="12" t="str">
        <f t="shared" ca="1" si="1"/>
        <v>Day 62</v>
      </c>
      <c r="I4" s="11" t="str">
        <f t="shared" ca="1" si="1"/>
        <v>Day 63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DaysAndWeeks+DATE(CalendarYear,3,1)-WEEKDAY(DATE(CalendarYear,3,1),(WeekStart="MON")+1)+8</f>
        <v>42799</v>
      </c>
      <c r="D6" s="9">
        <f ca="1"/>
        <v>42800</v>
      </c>
      <c r="E6" s="8">
        <f ca="1"/>
        <v>42801</v>
      </c>
      <c r="F6" s="9">
        <f ca="1"/>
        <v>42802</v>
      </c>
      <c r="G6" s="8">
        <f ca="1"/>
        <v>42803</v>
      </c>
      <c r="H6" s="9">
        <f ca="1"/>
        <v>42804</v>
      </c>
      <c r="I6" s="8">
        <f ca="1"/>
        <v>42805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10/Day 64</v>
      </c>
      <c r="D7" s="12" t="str">
        <f ca="1">IF(WEEKDAY(CalendarDay)=WeekStartValue,CONCATENATE("Week ",WEEKNUM(CalendarDay),"/Day ",CalendarDay-DATE(YEAR(CalendarDay),1,0)),CONCATENATE("Day ",CalendarDay-DATE(YEAR(CalendarDay),1,0)))</f>
        <v>Day 65</v>
      </c>
      <c r="E7" s="11" t="str">
        <f ca="1">IF(WEEKDAY(CalendarDay)=WeekStartValue,CONCATENATE("Week ",WEEKNUM(CalendarDay),"/Day ",CalendarDay-DATE(YEAR(CalendarDay),1,0)),CONCATENATE("Day ",CalendarDay-DATE(YEAR(CalendarDay),1,0)))</f>
        <v>Day 66</v>
      </c>
      <c r="F7" s="12" t="str">
        <f ca="1">IF(WEEKDAY(CalendarDay)=WeekStartValue,CONCATENATE("Week ",WEEKNUM(CalendarDay),"/Day ",CalendarDay-DATE(YEAR(CalendarDay),1,0)),CONCATENATE("Day ",CalendarDay-DATE(YEAR(CalendarDay),1,0)))</f>
        <v>Day 67</v>
      </c>
      <c r="G7" s="11" t="str">
        <f ca="1">IF(WEEKDAY(CalendarDay)=WeekStartValue,CONCATENATE("Week ",WEEKNUM(CalendarDay),"/Day ",CalendarDay-DATE(YEAR(CalendarDay),1,0)),CONCATENATE("Day ",CalendarDay-DATE(YEAR(CalendarDay),1,0)))</f>
        <v>Day 68</v>
      </c>
      <c r="H7" s="12" t="str">
        <f ca="1">IF(WEEKDAY(CalendarDay)=WeekStartValue,CONCATENATE("Week ",WEEKNUM(CalendarDay),"/Day ",CalendarDay-DATE(YEAR(CalendarDay),1,0)),CONCATENATE("Day ",CalendarDay-DATE(YEAR(CalendarDay),1,0)))</f>
        <v>Day 69</v>
      </c>
      <c r="I7" s="11" t="str">
        <f ca="1">IF(WEEKDAY(CalendarDay)=WeekStartValue,CONCATENATE("Week ",WEEKNUM(CalendarDay),"/Day ",CalendarDay-DATE(YEAR(CalendarDay),1,0)),CONCATENATE("Day ",CalendarDay-DATE(YEAR(CalendarDay),1,0)))</f>
        <v>Day 70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DaysAndWeeks+DATE(CalendarYear,3,1)-WEEKDAY(DATE(CalendarYear,3,1),(WeekStart="MON")+1)+15</f>
        <v>42806</v>
      </c>
      <c r="D9" s="9">
        <f ca="1"/>
        <v>42807</v>
      </c>
      <c r="E9" s="8">
        <f ca="1"/>
        <v>42808</v>
      </c>
      <c r="F9" s="9">
        <f ca="1"/>
        <v>42809</v>
      </c>
      <c r="G9" s="8">
        <f ca="1"/>
        <v>42810</v>
      </c>
      <c r="H9" s="9">
        <f ca="1"/>
        <v>42811</v>
      </c>
      <c r="I9" s="8">
        <f ca="1"/>
        <v>42812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11/Day 71</v>
      </c>
      <c r="D10" s="12" t="str">
        <f ca="1">IF(WEEKDAY(CalendarDay)=WeekStartValue,CONCATENATE("Week ",WEEKNUM(CalendarDay),"/Day ",CalendarDay-DATE(YEAR(CalendarDay),1,0)),CONCATENATE("Day ",CalendarDay-DATE(YEAR(CalendarDay),1,0)))</f>
        <v>Day 72</v>
      </c>
      <c r="E10" s="11" t="str">
        <f ca="1">IF(WEEKDAY(CalendarDay)=WeekStartValue,CONCATENATE("Week ",WEEKNUM(CalendarDay),"/Day ",CalendarDay-DATE(YEAR(CalendarDay),1,0)),CONCATENATE("Day ",CalendarDay-DATE(YEAR(CalendarDay),1,0)))</f>
        <v>Day 73</v>
      </c>
      <c r="F10" s="12" t="str">
        <f ca="1">IF(WEEKDAY(CalendarDay)=WeekStartValue,CONCATENATE("Week ",WEEKNUM(CalendarDay),"/Day ",CalendarDay-DATE(YEAR(CalendarDay),1,0)),CONCATENATE("Day ",CalendarDay-DATE(YEAR(CalendarDay),1,0)))</f>
        <v>Day 74</v>
      </c>
      <c r="G10" s="11" t="str">
        <f ca="1">IF(WEEKDAY(CalendarDay)=WeekStartValue,CONCATENATE("Week ",WEEKNUM(CalendarDay),"/Day ",CalendarDay-DATE(YEAR(CalendarDay),1,0)),CONCATENATE("Day ",CalendarDay-DATE(YEAR(CalendarDay),1,0)))</f>
        <v>Day 75</v>
      </c>
      <c r="H10" s="12" t="str">
        <f ca="1">IF(WEEKDAY(CalendarDay)=WeekStartValue,CONCATENATE("Week ",WEEKNUM(CalendarDay),"/Day ",CalendarDay-DATE(YEAR(CalendarDay),1,0)),CONCATENATE("Day ",CalendarDay-DATE(YEAR(CalendarDay),1,0)))</f>
        <v>Day 76</v>
      </c>
      <c r="I10" s="11" t="str">
        <f ca="1">IF(WEEKDAY(CalendarDay)=WeekStartValue,CONCATENATE("Week ",WEEKNUM(CalendarDay),"/Day ",CalendarDay-DATE(YEAR(CalendarDay),1,0)),CONCATENATE("Day ",CalendarDay-DATE(YEAR(CalendarDay),1,0)))</f>
        <v>Day 77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DaysAndWeeks+DATE(CalendarYear,3,1)-WEEKDAY(DATE(CalendarYear,3,1),(WeekStart="MON")+1)+22</f>
        <v>42813</v>
      </c>
      <c r="D12" s="9">
        <f ca="1"/>
        <v>42814</v>
      </c>
      <c r="E12" s="8">
        <f ca="1"/>
        <v>42815</v>
      </c>
      <c r="F12" s="9">
        <f ca="1"/>
        <v>42816</v>
      </c>
      <c r="G12" s="8">
        <f ca="1"/>
        <v>42817</v>
      </c>
      <c r="H12" s="9">
        <f ca="1"/>
        <v>42818</v>
      </c>
      <c r="I12" s="8">
        <f ca="1"/>
        <v>42819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12/Day 78</v>
      </c>
      <c r="D13" s="12" t="str">
        <f ca="1">IF(WEEKDAY(CalendarDay)=WeekStartValue,CONCATENATE("Week ",WEEKNUM(CalendarDay),"/Day ",CalendarDay-DATE(YEAR(CalendarDay),1,0)),CONCATENATE("Day ",CalendarDay-DATE(YEAR(CalendarDay),1,0)))</f>
        <v>Day 79</v>
      </c>
      <c r="E13" s="11" t="str">
        <f ca="1">IF(WEEKDAY(CalendarDay)=WeekStartValue,CONCATENATE("Week ",WEEKNUM(CalendarDay),"/Day ",CalendarDay-DATE(YEAR(CalendarDay),1,0)),CONCATENATE("Day ",CalendarDay-DATE(YEAR(CalendarDay),1,0)))</f>
        <v>Day 80</v>
      </c>
      <c r="F13" s="12" t="str">
        <f ca="1">IF(WEEKDAY(CalendarDay)=WeekStartValue,CONCATENATE("Week ",WEEKNUM(CalendarDay),"/Day ",CalendarDay-DATE(YEAR(CalendarDay),1,0)),CONCATENATE("Day ",CalendarDay-DATE(YEAR(CalendarDay),1,0)))</f>
        <v>Day 81</v>
      </c>
      <c r="G13" s="11" t="str">
        <f ca="1">IF(WEEKDAY(CalendarDay)=WeekStartValue,CONCATENATE("Week ",WEEKNUM(CalendarDay),"/Day ",CalendarDay-DATE(YEAR(CalendarDay),1,0)),CONCATENATE("Day ",CalendarDay-DATE(YEAR(CalendarDay),1,0)))</f>
        <v>Day 82</v>
      </c>
      <c r="H13" s="12" t="str">
        <f ca="1">IF(WEEKDAY(CalendarDay)=WeekStartValue,CONCATENATE("Week ",WEEKNUM(CalendarDay),"/Day ",CalendarDay-DATE(YEAR(CalendarDay),1,0)),CONCATENATE("Day ",CalendarDay-DATE(YEAR(CalendarDay),1,0)))</f>
        <v>Day 83</v>
      </c>
      <c r="I13" s="11" t="str">
        <f ca="1">IF(WEEKDAY(CalendarDay)=WeekStartValue,CONCATENATE("Week ",WEEKNUM(CalendarDay),"/Day ",CalendarDay-DATE(YEAR(CalendarDay),1,0)),CONCATENATE("Day ",CalendarDay-DATE(YEAR(CalendarDay),1,0)))</f>
        <v>Day 84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DaysAndWeeks+DATE(CalendarYear,3,1)-WEEKDAY(DATE(CalendarYear,3,1),(WeekStart="MON")+1)+29</f>
        <v>42820</v>
      </c>
      <c r="D15" s="9">
        <f ca="1"/>
        <v>42821</v>
      </c>
      <c r="E15" s="8">
        <f ca="1"/>
        <v>42822</v>
      </c>
      <c r="F15" s="9">
        <f ca="1"/>
        <v>42823</v>
      </c>
      <c r="G15" s="8">
        <f ca="1"/>
        <v>42824</v>
      </c>
      <c r="H15" s="9">
        <f ca="1"/>
        <v>42825</v>
      </c>
      <c r="I15" s="8">
        <f ca="1"/>
        <v>42826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13/Day 85</v>
      </c>
      <c r="D16" s="12" t="str">
        <f ca="1">IF(WEEKDAY(CalendarDay)=WeekStartValue,CONCATENATE("Week ",WEEKNUM(CalendarDay),"/Day ",CalendarDay-DATE(YEAR(CalendarDay),1,0)),CONCATENATE("Day ",CalendarDay-DATE(YEAR(CalendarDay),1,0)))</f>
        <v>Day 86</v>
      </c>
      <c r="E16" s="11" t="str">
        <f ca="1">IF(WEEKDAY(CalendarDay)=WeekStartValue,CONCATENATE("Week ",WEEKNUM(CalendarDay),"/Day ",CalendarDay-DATE(YEAR(CalendarDay),1,0)),CONCATENATE("Day ",CalendarDay-DATE(YEAR(CalendarDay),1,0)))</f>
        <v>Day 87</v>
      </c>
      <c r="F16" s="12" t="str">
        <f ca="1">IF(WEEKDAY(CalendarDay)=WeekStartValue,CONCATENATE("Week ",WEEKNUM(CalendarDay),"/Day ",CalendarDay-DATE(YEAR(CalendarDay),1,0)),CONCATENATE("Day ",CalendarDay-DATE(YEAR(CalendarDay),1,0)))</f>
        <v>Day 88</v>
      </c>
      <c r="G16" s="11" t="str">
        <f ca="1">IF(WEEKDAY(CalendarDay)=WeekStartValue,CONCATENATE("Week ",WEEKNUM(CalendarDay),"/Day ",CalendarDay-DATE(YEAR(CalendarDay),1,0)),CONCATENATE("Day ",CalendarDay-DATE(YEAR(CalendarDay),1,0)))</f>
        <v>Day 89</v>
      </c>
      <c r="H16" s="12" t="str">
        <f ca="1">IF(WEEKDAY(CalendarDay)=WeekStartValue,CONCATENATE("Week ",WEEKNUM(CalendarDay),"/Day ",CalendarDay-DATE(YEAR(CalendarDay),1,0)),CONCATENATE("Day ",CalendarDay-DATE(YEAR(CalendarDay),1,0)))</f>
        <v>Day 90</v>
      </c>
      <c r="I16" s="11" t="str">
        <f ca="1">IF(WEEKDAY(CalendarDay)=WeekStartValue,CONCATENATE("Week ",WEEKNUM(CalendarDay),"/Day ",CalendarDay-DATE(YEAR(CalendarDay),1,0)),CONCATENATE("Day ",CalendarDay-DATE(YEAR(CalendarDay),1,0)))</f>
        <v>Day 91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DaysAndWeeks+DATE(CalendarYear,3,1)-WEEKDAY(DATE(CalendarYear,3,1),(WeekStart="MON")+1)+36</f>
        <v>42827</v>
      </c>
      <c r="D19" s="9">
        <f ca="1"/>
        <v>42828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14/Day 92</v>
      </c>
      <c r="D20" s="2" t="str">
        <f ca="1">IF(WEEKDAY(CalendarDay)=WeekStartValue,CONCATENATE("Week ",WEEKNUM(CalendarDay),"/Day ",CalendarDay-DATE(YEAR(CalendarDay),1,0)),CONCATENATE("Day ",CalendarDay-DATE(YEAR(CalendarDay),1,0)))</f>
        <v>Day 93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39" priority="2">
      <formula>AND(DAY(C15)&gt;=1,DAY(C15)&lt;=15)</formula>
    </cfRule>
  </conditionalFormatting>
  <conditionalFormatting sqref="C3:H3">
    <cfRule type="expression" dxfId="38" priority="1">
      <formula>DAY(C3)&gt;8</formula>
    </cfRule>
  </conditionalFormatting>
  <conditionalFormatting sqref="C4:I4">
    <cfRule type="expression" dxfId="37" priority="3">
      <formula>DAY(C3)&gt;8</formula>
    </cfRule>
  </conditionalFormatting>
  <conditionalFormatting sqref="C16:I16 C20:D20 C17:D17 F17:I17">
    <cfRule type="expression" dxfId="36" priority="4">
      <formula>AND(DAY(C15)&gt;=1,DAY(C15)&lt;=15)</formula>
    </cfRule>
  </conditionalFormatting>
  <dataValidations count="9">
    <dataValidation allowBlank="1" showInputMessage="1" showErrorMessage="1" prompt="March month calendar" sqref="A1" xr:uid="{00000000-0002-0000-02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200-000001000000}"/>
    <dataValidation allowBlank="1" showInputMessage="1" showErrorMessage="1" prompt="Year in this cell is automatically updated based on year entered in January worksheet" sqref="B2" xr:uid="{00000000-0002-0000-02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200-000003000000}"/>
    <dataValidation allowBlank="1" showInputMessage="1" showErrorMessage="1" prompt="Enter daily notes based on the calendar day in below cells in this and rows 5, 8, 11, 14 and 17, columns C to I" sqref="C2" xr:uid="{00000000-0002-0000-02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200-000005000000}"/>
    <dataValidation allowBlank="1" showInputMessage="1" showErrorMessage="1" prompt="Week and/or day count in this and rows 7, 10, 13, 16 &amp; 20, are automatically updated" sqref="C4" xr:uid="{00000000-0002-0000-0200-000006000000}"/>
    <dataValidation allowBlank="1" showInputMessage="1" showErrorMessage="1" prompt="Enter Notes in cell below" sqref="E17" xr:uid="{00000000-0002-0000-0200-000007000000}"/>
    <dataValidation allowBlank="1" showInputMessage="1" showErrorMessage="1" prompt="Enter Notes in this cell" sqref="E18:I20" xr:uid="{00000000-0002-0000-02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39997558519241921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5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DaysAndWeeks+DATE(CalendarYear,4,1)-WEEKDAY(DATE(CalendarYear,4,1),(WeekStart="MON")+1)+1</f>
        <v>42820</v>
      </c>
      <c r="D3" s="9">
        <f ca="1"/>
        <v>42821</v>
      </c>
      <c r="E3" s="8">
        <f ca="1"/>
        <v>42822</v>
      </c>
      <c r="F3" s="9">
        <f ca="1"/>
        <v>42823</v>
      </c>
      <c r="G3" s="8">
        <f ca="1"/>
        <v>42824</v>
      </c>
      <c r="H3" s="9">
        <f ca="1"/>
        <v>42825</v>
      </c>
      <c r="I3" s="8">
        <f ca="1"/>
        <v>42826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85</v>
      </c>
      <c r="D4" s="12" t="str">
        <f t="shared" ca="1" si="1"/>
        <v>Day 86</v>
      </c>
      <c r="E4" s="11" t="str">
        <f t="shared" ca="1" si="1"/>
        <v>Day 87</v>
      </c>
      <c r="F4" s="12" t="str">
        <f t="shared" ca="1" si="1"/>
        <v>Day 88</v>
      </c>
      <c r="G4" s="11" t="str">
        <f t="shared" ca="1" si="1"/>
        <v>Day 89</v>
      </c>
      <c r="H4" s="12" t="str">
        <f t="shared" ca="1" si="1"/>
        <v>Day 90</v>
      </c>
      <c r="I4" s="11" t="str">
        <f t="shared" ca="1" si="1"/>
        <v>Week 13/Day 91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DaysAndWeeks+DATE(CalendarYear,4,1)-WEEKDAY(DATE(CalendarYear,4,1),(WeekStart="MON")+1)+8</f>
        <v>42827</v>
      </c>
      <c r="D6" s="9">
        <f ca="1"/>
        <v>42828</v>
      </c>
      <c r="E6" s="8">
        <f ca="1"/>
        <v>42829</v>
      </c>
      <c r="F6" s="9">
        <f ca="1"/>
        <v>42830</v>
      </c>
      <c r="G6" s="8">
        <f ca="1"/>
        <v>42831</v>
      </c>
      <c r="H6" s="9">
        <f ca="1"/>
        <v>42832</v>
      </c>
      <c r="I6" s="8">
        <f ca="1"/>
        <v>42833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14/Day 92</v>
      </c>
      <c r="D7" s="12" t="str">
        <f ca="1">IF(WEEKDAY(CalendarDay)=WeekStartValue,CONCATENATE("Week ",WEEKNUM(CalendarDay),"/Day ",CalendarDay-DATE(YEAR(CalendarDay),1,0)),CONCATENATE("Day ",CalendarDay-DATE(YEAR(CalendarDay),1,0)))</f>
        <v>Day 93</v>
      </c>
      <c r="E7" s="11" t="str">
        <f ca="1">IF(WEEKDAY(CalendarDay)=WeekStartValue,CONCATENATE("Week ",WEEKNUM(CalendarDay),"/Day ",CalendarDay-DATE(YEAR(CalendarDay),1,0)),CONCATENATE("Day ",CalendarDay-DATE(YEAR(CalendarDay),1,0)))</f>
        <v>Day 94</v>
      </c>
      <c r="F7" s="12" t="str">
        <f ca="1">IF(WEEKDAY(CalendarDay)=WeekStartValue,CONCATENATE("Week ",WEEKNUM(CalendarDay),"/Day ",CalendarDay-DATE(YEAR(CalendarDay),1,0)),CONCATENATE("Day ",CalendarDay-DATE(YEAR(CalendarDay),1,0)))</f>
        <v>Day 95</v>
      </c>
      <c r="G7" s="11" t="str">
        <f ca="1">IF(WEEKDAY(CalendarDay)=WeekStartValue,CONCATENATE("Week ",WEEKNUM(CalendarDay),"/Day ",CalendarDay-DATE(YEAR(CalendarDay),1,0)),CONCATENATE("Day ",CalendarDay-DATE(YEAR(CalendarDay),1,0)))</f>
        <v>Day 96</v>
      </c>
      <c r="H7" s="12" t="str">
        <f ca="1">IF(WEEKDAY(CalendarDay)=WeekStartValue,CONCATENATE("Week ",WEEKNUM(CalendarDay),"/Day ",CalendarDay-DATE(YEAR(CalendarDay),1,0)),CONCATENATE("Day ",CalendarDay-DATE(YEAR(CalendarDay),1,0)))</f>
        <v>Day 97</v>
      </c>
      <c r="I7" s="11" t="str">
        <f ca="1">IF(WEEKDAY(CalendarDay)=WeekStartValue,CONCATENATE("Week ",WEEKNUM(CalendarDay),"/Day ",CalendarDay-DATE(YEAR(CalendarDay),1,0)),CONCATENATE("Day ",CalendarDay-DATE(YEAR(CalendarDay),1,0)))</f>
        <v>Day 98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DaysAndWeeks+DATE(CalendarYear,4,1)-WEEKDAY(DATE(CalendarYear,4,1),(WeekStart="MON")+1)+15</f>
        <v>42834</v>
      </c>
      <c r="D9" s="9">
        <f ca="1"/>
        <v>42835</v>
      </c>
      <c r="E9" s="8">
        <f ca="1"/>
        <v>42836</v>
      </c>
      <c r="F9" s="9">
        <f ca="1"/>
        <v>42837</v>
      </c>
      <c r="G9" s="8">
        <f ca="1"/>
        <v>42838</v>
      </c>
      <c r="H9" s="9">
        <f ca="1"/>
        <v>42839</v>
      </c>
      <c r="I9" s="8">
        <f ca="1"/>
        <v>42840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15/Day 99</v>
      </c>
      <c r="D10" s="12" t="str">
        <f ca="1">IF(WEEKDAY(CalendarDay)=WeekStartValue,CONCATENATE("Week ",WEEKNUM(CalendarDay),"/Day ",CalendarDay-DATE(YEAR(CalendarDay),1,0)),CONCATENATE("Day ",CalendarDay-DATE(YEAR(CalendarDay),1,0)))</f>
        <v>Day 100</v>
      </c>
      <c r="E10" s="11" t="str">
        <f ca="1">IF(WEEKDAY(CalendarDay)=WeekStartValue,CONCATENATE("Week ",WEEKNUM(CalendarDay),"/Day ",CalendarDay-DATE(YEAR(CalendarDay),1,0)),CONCATENATE("Day ",CalendarDay-DATE(YEAR(CalendarDay),1,0)))</f>
        <v>Day 101</v>
      </c>
      <c r="F10" s="12" t="str">
        <f ca="1">IF(WEEKDAY(CalendarDay)=WeekStartValue,CONCATENATE("Week ",WEEKNUM(CalendarDay),"/Day ",CalendarDay-DATE(YEAR(CalendarDay),1,0)),CONCATENATE("Day ",CalendarDay-DATE(YEAR(CalendarDay),1,0)))</f>
        <v>Day 102</v>
      </c>
      <c r="G10" s="11" t="str">
        <f ca="1">IF(WEEKDAY(CalendarDay)=WeekStartValue,CONCATENATE("Week ",WEEKNUM(CalendarDay),"/Day ",CalendarDay-DATE(YEAR(CalendarDay),1,0)),CONCATENATE("Day ",CalendarDay-DATE(YEAR(CalendarDay),1,0)))</f>
        <v>Day 103</v>
      </c>
      <c r="H10" s="12" t="str">
        <f ca="1">IF(WEEKDAY(CalendarDay)=WeekStartValue,CONCATENATE("Week ",WEEKNUM(CalendarDay),"/Day ",CalendarDay-DATE(YEAR(CalendarDay),1,0)),CONCATENATE("Day ",CalendarDay-DATE(YEAR(CalendarDay),1,0)))</f>
        <v>Day 104</v>
      </c>
      <c r="I10" s="11" t="str">
        <f ca="1">IF(WEEKDAY(CalendarDay)=WeekStartValue,CONCATENATE("Week ",WEEKNUM(CalendarDay),"/Day ",CalendarDay-DATE(YEAR(CalendarDay),1,0)),CONCATENATE("Day ",CalendarDay-DATE(YEAR(CalendarDay),1,0)))</f>
        <v>Day 105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DaysAndWeeks+DATE(CalendarYear,4,1)-WEEKDAY(DATE(CalendarYear,4,1),(WeekStart="MON")+1)+22</f>
        <v>42841</v>
      </c>
      <c r="D12" s="9">
        <f ca="1"/>
        <v>42842</v>
      </c>
      <c r="E12" s="8">
        <f ca="1"/>
        <v>42843</v>
      </c>
      <c r="F12" s="9">
        <f ca="1"/>
        <v>42844</v>
      </c>
      <c r="G12" s="8">
        <f ca="1"/>
        <v>42845</v>
      </c>
      <c r="H12" s="9">
        <f ca="1"/>
        <v>42846</v>
      </c>
      <c r="I12" s="8">
        <f ca="1"/>
        <v>42847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16/Day 106</v>
      </c>
      <c r="D13" s="12" t="str">
        <f ca="1">IF(WEEKDAY(CalendarDay)=WeekStartValue,CONCATENATE("Week ",WEEKNUM(CalendarDay),"/Day ",CalendarDay-DATE(YEAR(CalendarDay),1,0)),CONCATENATE("Day ",CalendarDay-DATE(YEAR(CalendarDay),1,0)))</f>
        <v>Day 107</v>
      </c>
      <c r="E13" s="11" t="str">
        <f ca="1">IF(WEEKDAY(CalendarDay)=WeekStartValue,CONCATENATE("Week ",WEEKNUM(CalendarDay),"/Day ",CalendarDay-DATE(YEAR(CalendarDay),1,0)),CONCATENATE("Day ",CalendarDay-DATE(YEAR(CalendarDay),1,0)))</f>
        <v>Day 108</v>
      </c>
      <c r="F13" s="12" t="str">
        <f ca="1">IF(WEEKDAY(CalendarDay)=WeekStartValue,CONCATENATE("Week ",WEEKNUM(CalendarDay),"/Day ",CalendarDay-DATE(YEAR(CalendarDay),1,0)),CONCATENATE("Day ",CalendarDay-DATE(YEAR(CalendarDay),1,0)))</f>
        <v>Day 109</v>
      </c>
      <c r="G13" s="11" t="str">
        <f ca="1">IF(WEEKDAY(CalendarDay)=WeekStartValue,CONCATENATE("Week ",WEEKNUM(CalendarDay),"/Day ",CalendarDay-DATE(YEAR(CalendarDay),1,0)),CONCATENATE("Day ",CalendarDay-DATE(YEAR(CalendarDay),1,0)))</f>
        <v>Day 110</v>
      </c>
      <c r="H13" s="12" t="str">
        <f ca="1">IF(WEEKDAY(CalendarDay)=WeekStartValue,CONCATENATE("Week ",WEEKNUM(CalendarDay),"/Day ",CalendarDay-DATE(YEAR(CalendarDay),1,0)),CONCATENATE("Day ",CalendarDay-DATE(YEAR(CalendarDay),1,0)))</f>
        <v>Day 111</v>
      </c>
      <c r="I13" s="11" t="str">
        <f ca="1">IF(WEEKDAY(CalendarDay)=WeekStartValue,CONCATENATE("Week ",WEEKNUM(CalendarDay),"/Day ",CalendarDay-DATE(YEAR(CalendarDay),1,0)),CONCATENATE("Day ",CalendarDay-DATE(YEAR(CalendarDay),1,0)))</f>
        <v>Day 112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DaysAndWeeks+DATE(CalendarYear,4,1)-WEEKDAY(DATE(CalendarYear,4,1),(WeekStart="MON")+1)+29</f>
        <v>42848</v>
      </c>
      <c r="D15" s="9">
        <f ca="1"/>
        <v>42849</v>
      </c>
      <c r="E15" s="8">
        <f ca="1"/>
        <v>42850</v>
      </c>
      <c r="F15" s="9">
        <f ca="1"/>
        <v>42851</v>
      </c>
      <c r="G15" s="8">
        <f ca="1"/>
        <v>42852</v>
      </c>
      <c r="H15" s="9">
        <f ca="1"/>
        <v>42853</v>
      </c>
      <c r="I15" s="8">
        <f ca="1"/>
        <v>42854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17/Day 113</v>
      </c>
      <c r="D16" s="12" t="str">
        <f ca="1">IF(WEEKDAY(CalendarDay)=WeekStartValue,CONCATENATE("Week ",WEEKNUM(CalendarDay),"/Day ",CalendarDay-DATE(YEAR(CalendarDay),1,0)),CONCATENATE("Day ",CalendarDay-DATE(YEAR(CalendarDay),1,0)))</f>
        <v>Day 114</v>
      </c>
      <c r="E16" s="11" t="str">
        <f ca="1">IF(WEEKDAY(CalendarDay)=WeekStartValue,CONCATENATE("Week ",WEEKNUM(CalendarDay),"/Day ",CalendarDay-DATE(YEAR(CalendarDay),1,0)),CONCATENATE("Day ",CalendarDay-DATE(YEAR(CalendarDay),1,0)))</f>
        <v>Day 115</v>
      </c>
      <c r="F16" s="12" t="str">
        <f ca="1">IF(WEEKDAY(CalendarDay)=WeekStartValue,CONCATENATE("Week ",WEEKNUM(CalendarDay),"/Day ",CalendarDay-DATE(YEAR(CalendarDay),1,0)),CONCATENATE("Day ",CalendarDay-DATE(YEAR(CalendarDay),1,0)))</f>
        <v>Day 116</v>
      </c>
      <c r="G16" s="11" t="str">
        <f ca="1">IF(WEEKDAY(CalendarDay)=WeekStartValue,CONCATENATE("Week ",WEEKNUM(CalendarDay),"/Day ",CalendarDay-DATE(YEAR(CalendarDay),1,0)),CONCATENATE("Day ",CalendarDay-DATE(YEAR(CalendarDay),1,0)))</f>
        <v>Day 117</v>
      </c>
      <c r="H16" s="12" t="str">
        <f ca="1">IF(WEEKDAY(CalendarDay)=WeekStartValue,CONCATENATE("Week ",WEEKNUM(CalendarDay),"/Day ",CalendarDay-DATE(YEAR(CalendarDay),1,0)),CONCATENATE("Day ",CalendarDay-DATE(YEAR(CalendarDay),1,0)))</f>
        <v>Day 118</v>
      </c>
      <c r="I16" s="11" t="str">
        <f ca="1">IF(WEEKDAY(CalendarDay)=WeekStartValue,CONCATENATE("Week ",WEEKNUM(CalendarDay),"/Day ",CalendarDay-DATE(YEAR(CalendarDay),1,0)),CONCATENATE("Day ",CalendarDay-DATE(YEAR(CalendarDay),1,0)))</f>
        <v>Day 119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DaysAndWeeks+DATE(CalendarYear,4,1)-WEEKDAY(DATE(CalendarYear,4,1),(WeekStart="MON")+1)+36</f>
        <v>42855</v>
      </c>
      <c r="D19" s="9">
        <f ca="1"/>
        <v>42856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18/Day 120</v>
      </c>
      <c r="D20" s="2" t="str">
        <f ca="1">IF(WEEKDAY(CalendarDay)=WeekStartValue,CONCATENATE("Week ",WEEKNUM(CalendarDay),"/Day ",CalendarDay-DATE(YEAR(CalendarDay),1,0)),CONCATENATE("Day ",CalendarDay-DATE(YEAR(CalendarDay),1,0)))</f>
        <v>Day 121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35" priority="2">
      <formula>AND(DAY(C15)&gt;=1,DAY(C15)&lt;=15)</formula>
    </cfRule>
  </conditionalFormatting>
  <conditionalFormatting sqref="C3:H3">
    <cfRule type="expression" dxfId="34" priority="1">
      <formula>DAY(C3)&gt;8</formula>
    </cfRule>
  </conditionalFormatting>
  <conditionalFormatting sqref="C4:I4">
    <cfRule type="expression" dxfId="33" priority="3">
      <formula>DAY(C3)&gt;8</formula>
    </cfRule>
  </conditionalFormatting>
  <conditionalFormatting sqref="C16:I16 C20:D20 C17:D17 F17:I17">
    <cfRule type="expression" dxfId="32" priority="4">
      <formula>AND(DAY(C15)&gt;=1,DAY(C15)&lt;=15)</formula>
    </cfRule>
  </conditionalFormatting>
  <dataValidations count="9">
    <dataValidation allowBlank="1" showInputMessage="1" showErrorMessage="1" prompt="April month calendar" sqref="A1" xr:uid="{00000000-0002-0000-03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300-000001000000}"/>
    <dataValidation allowBlank="1" showInputMessage="1" showErrorMessage="1" prompt="Year in this cell is automatically updated based on year entered in January worksheet" sqref="B2" xr:uid="{00000000-0002-0000-03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300-000003000000}"/>
    <dataValidation allowBlank="1" showInputMessage="1" showErrorMessage="1" prompt="Enter daily notes based on the calendar day in below cells in this and rows 5, 8, 11, 14 and 17, columns C to I" sqref="C2" xr:uid="{00000000-0002-0000-03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300-000005000000}"/>
    <dataValidation allowBlank="1" showInputMessage="1" showErrorMessage="1" prompt="Week and/or day count in this and rows 7, 10, 13, 16 &amp; 20, are automatically updated" sqref="C4" xr:uid="{00000000-0002-0000-0300-000006000000}"/>
    <dataValidation allowBlank="1" showInputMessage="1" showErrorMessage="1" prompt="Enter Notes in cell below" sqref="E17" xr:uid="{00000000-0002-0000-0300-000007000000}"/>
    <dataValidation allowBlank="1" showInputMessage="1" showErrorMessage="1" prompt="Enter Notes in this cell" sqref="E18:I20" xr:uid="{00000000-0002-0000-03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4" tint="0.59999389629810485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6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DaysAndWeeks+DATE(CalendarYear,5,1)-WEEKDAY(DATE(CalendarYear,5,1),(WeekStart="MON")+1)+1</f>
        <v>42855</v>
      </c>
      <c r="D3" s="9">
        <f ca="1"/>
        <v>42856</v>
      </c>
      <c r="E3" s="8">
        <f ca="1"/>
        <v>42857</v>
      </c>
      <c r="F3" s="9">
        <f ca="1"/>
        <v>42858</v>
      </c>
      <c r="G3" s="8">
        <f ca="1"/>
        <v>42859</v>
      </c>
      <c r="H3" s="9">
        <f ca="1"/>
        <v>42860</v>
      </c>
      <c r="I3" s="8">
        <f ca="1"/>
        <v>42861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120</v>
      </c>
      <c r="D4" s="12" t="str">
        <f t="shared" ca="1" si="1"/>
        <v>Week 18/Day 121</v>
      </c>
      <c r="E4" s="11" t="str">
        <f t="shared" ca="1" si="1"/>
        <v>Day 122</v>
      </c>
      <c r="F4" s="12" t="str">
        <f t="shared" ca="1" si="1"/>
        <v>Day 123</v>
      </c>
      <c r="G4" s="11" t="str">
        <f t="shared" ca="1" si="1"/>
        <v>Day 124</v>
      </c>
      <c r="H4" s="12" t="str">
        <f t="shared" ca="1" si="1"/>
        <v>Day 125</v>
      </c>
      <c r="I4" s="11" t="str">
        <f t="shared" ca="1" si="1"/>
        <v>Day 126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DaysAndWeeks+DATE(CalendarYear,5,1)-WEEKDAY(DATE(CalendarYear,5,1),(WeekStart="MON")+1)+8</f>
        <v>42862</v>
      </c>
      <c r="D6" s="9">
        <f ca="1"/>
        <v>42863</v>
      </c>
      <c r="E6" s="8">
        <f ca="1"/>
        <v>42864</v>
      </c>
      <c r="F6" s="9">
        <f ca="1"/>
        <v>42865</v>
      </c>
      <c r="G6" s="8">
        <f ca="1"/>
        <v>42866</v>
      </c>
      <c r="H6" s="9">
        <f ca="1"/>
        <v>42867</v>
      </c>
      <c r="I6" s="8">
        <f ca="1"/>
        <v>42868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19/Day 127</v>
      </c>
      <c r="D7" s="12" t="str">
        <f ca="1">IF(WEEKDAY(CalendarDay)=WeekStartValue,CONCATENATE("Week ",WEEKNUM(CalendarDay),"/Day ",CalendarDay-DATE(YEAR(CalendarDay),1,0)),CONCATENATE("Day ",CalendarDay-DATE(YEAR(CalendarDay),1,0)))</f>
        <v>Day 128</v>
      </c>
      <c r="E7" s="11" t="str">
        <f ca="1">IF(WEEKDAY(CalendarDay)=WeekStartValue,CONCATENATE("Week ",WEEKNUM(CalendarDay),"/Day ",CalendarDay-DATE(YEAR(CalendarDay),1,0)),CONCATENATE("Day ",CalendarDay-DATE(YEAR(CalendarDay),1,0)))</f>
        <v>Day 129</v>
      </c>
      <c r="F7" s="12" t="str">
        <f ca="1">IF(WEEKDAY(CalendarDay)=WeekStartValue,CONCATENATE("Week ",WEEKNUM(CalendarDay),"/Day ",CalendarDay-DATE(YEAR(CalendarDay),1,0)),CONCATENATE("Day ",CalendarDay-DATE(YEAR(CalendarDay),1,0)))</f>
        <v>Day 130</v>
      </c>
      <c r="G7" s="11" t="str">
        <f ca="1">IF(WEEKDAY(CalendarDay)=WeekStartValue,CONCATENATE("Week ",WEEKNUM(CalendarDay),"/Day ",CalendarDay-DATE(YEAR(CalendarDay),1,0)),CONCATENATE("Day ",CalendarDay-DATE(YEAR(CalendarDay),1,0)))</f>
        <v>Day 131</v>
      </c>
      <c r="H7" s="12" t="str">
        <f ca="1">IF(WEEKDAY(CalendarDay)=WeekStartValue,CONCATENATE("Week ",WEEKNUM(CalendarDay),"/Day ",CalendarDay-DATE(YEAR(CalendarDay),1,0)),CONCATENATE("Day ",CalendarDay-DATE(YEAR(CalendarDay),1,0)))</f>
        <v>Day 132</v>
      </c>
      <c r="I7" s="11" t="str">
        <f ca="1">IF(WEEKDAY(CalendarDay)=WeekStartValue,CONCATENATE("Week ",WEEKNUM(CalendarDay),"/Day ",CalendarDay-DATE(YEAR(CalendarDay),1,0)),CONCATENATE("Day ",CalendarDay-DATE(YEAR(CalendarDay),1,0)))</f>
        <v>Day 133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DaysAndWeeks+DATE(CalendarYear,5,1)-WEEKDAY(DATE(CalendarYear,5,1),(WeekStart="MON")+1)+15</f>
        <v>42869</v>
      </c>
      <c r="D9" s="9">
        <f ca="1"/>
        <v>42870</v>
      </c>
      <c r="E9" s="8">
        <f ca="1"/>
        <v>42871</v>
      </c>
      <c r="F9" s="9">
        <f ca="1"/>
        <v>42872</v>
      </c>
      <c r="G9" s="8">
        <f ca="1"/>
        <v>42873</v>
      </c>
      <c r="H9" s="9">
        <f ca="1"/>
        <v>42874</v>
      </c>
      <c r="I9" s="8">
        <f ca="1"/>
        <v>42875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20/Day 134</v>
      </c>
      <c r="D10" s="12" t="str">
        <f ca="1">IF(WEEKDAY(CalendarDay)=WeekStartValue,CONCATENATE("Week ",WEEKNUM(CalendarDay),"/Day ",CalendarDay-DATE(YEAR(CalendarDay),1,0)),CONCATENATE("Day ",CalendarDay-DATE(YEAR(CalendarDay),1,0)))</f>
        <v>Day 135</v>
      </c>
      <c r="E10" s="11" t="str">
        <f ca="1">IF(WEEKDAY(CalendarDay)=WeekStartValue,CONCATENATE("Week ",WEEKNUM(CalendarDay),"/Day ",CalendarDay-DATE(YEAR(CalendarDay),1,0)),CONCATENATE("Day ",CalendarDay-DATE(YEAR(CalendarDay),1,0)))</f>
        <v>Day 136</v>
      </c>
      <c r="F10" s="12" t="str">
        <f ca="1">IF(WEEKDAY(CalendarDay)=WeekStartValue,CONCATENATE("Week ",WEEKNUM(CalendarDay),"/Day ",CalendarDay-DATE(YEAR(CalendarDay),1,0)),CONCATENATE("Day ",CalendarDay-DATE(YEAR(CalendarDay),1,0)))</f>
        <v>Day 137</v>
      </c>
      <c r="G10" s="11" t="str">
        <f ca="1">IF(WEEKDAY(CalendarDay)=WeekStartValue,CONCATENATE("Week ",WEEKNUM(CalendarDay),"/Day ",CalendarDay-DATE(YEAR(CalendarDay),1,0)),CONCATENATE("Day ",CalendarDay-DATE(YEAR(CalendarDay),1,0)))</f>
        <v>Day 138</v>
      </c>
      <c r="H10" s="12" t="str">
        <f ca="1">IF(WEEKDAY(CalendarDay)=WeekStartValue,CONCATENATE("Week ",WEEKNUM(CalendarDay),"/Day ",CalendarDay-DATE(YEAR(CalendarDay),1,0)),CONCATENATE("Day ",CalendarDay-DATE(YEAR(CalendarDay),1,0)))</f>
        <v>Day 139</v>
      </c>
      <c r="I10" s="11" t="str">
        <f ca="1">IF(WEEKDAY(CalendarDay)=WeekStartValue,CONCATENATE("Week ",WEEKNUM(CalendarDay),"/Day ",CalendarDay-DATE(YEAR(CalendarDay),1,0)),CONCATENATE("Day ",CalendarDay-DATE(YEAR(CalendarDay),1,0)))</f>
        <v>Day 140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DaysAndWeeks+DATE(CalendarYear,5,1)-WEEKDAY(DATE(CalendarYear,5,1),(WeekStart="MON")+1)+22</f>
        <v>42876</v>
      </c>
      <c r="D12" s="9">
        <f ca="1"/>
        <v>42877</v>
      </c>
      <c r="E12" s="8">
        <f ca="1"/>
        <v>42878</v>
      </c>
      <c r="F12" s="9">
        <f ca="1"/>
        <v>42879</v>
      </c>
      <c r="G12" s="8">
        <f ca="1"/>
        <v>42880</v>
      </c>
      <c r="H12" s="9">
        <f ca="1"/>
        <v>42881</v>
      </c>
      <c r="I12" s="8">
        <f ca="1"/>
        <v>42882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21/Day 141</v>
      </c>
      <c r="D13" s="12" t="str">
        <f ca="1">IF(WEEKDAY(CalendarDay)=WeekStartValue,CONCATENATE("Week ",WEEKNUM(CalendarDay),"/Day ",CalendarDay-DATE(YEAR(CalendarDay),1,0)),CONCATENATE("Day ",CalendarDay-DATE(YEAR(CalendarDay),1,0)))</f>
        <v>Day 142</v>
      </c>
      <c r="E13" s="11" t="str">
        <f ca="1">IF(WEEKDAY(CalendarDay)=WeekStartValue,CONCATENATE("Week ",WEEKNUM(CalendarDay),"/Day ",CalendarDay-DATE(YEAR(CalendarDay),1,0)),CONCATENATE("Day ",CalendarDay-DATE(YEAR(CalendarDay),1,0)))</f>
        <v>Day 143</v>
      </c>
      <c r="F13" s="12" t="str">
        <f ca="1">IF(WEEKDAY(CalendarDay)=WeekStartValue,CONCATENATE("Week ",WEEKNUM(CalendarDay),"/Day ",CalendarDay-DATE(YEAR(CalendarDay),1,0)),CONCATENATE("Day ",CalendarDay-DATE(YEAR(CalendarDay),1,0)))</f>
        <v>Day 144</v>
      </c>
      <c r="G13" s="11" t="str">
        <f ca="1">IF(WEEKDAY(CalendarDay)=WeekStartValue,CONCATENATE("Week ",WEEKNUM(CalendarDay),"/Day ",CalendarDay-DATE(YEAR(CalendarDay),1,0)),CONCATENATE("Day ",CalendarDay-DATE(YEAR(CalendarDay),1,0)))</f>
        <v>Day 145</v>
      </c>
      <c r="H13" s="12" t="str">
        <f ca="1">IF(WEEKDAY(CalendarDay)=WeekStartValue,CONCATENATE("Week ",WEEKNUM(CalendarDay),"/Day ",CalendarDay-DATE(YEAR(CalendarDay),1,0)),CONCATENATE("Day ",CalendarDay-DATE(YEAR(CalendarDay),1,0)))</f>
        <v>Day 146</v>
      </c>
      <c r="I13" s="11" t="str">
        <f ca="1">IF(WEEKDAY(CalendarDay)=WeekStartValue,CONCATENATE("Week ",WEEKNUM(CalendarDay),"/Day ",CalendarDay-DATE(YEAR(CalendarDay),1,0)),CONCATENATE("Day ",CalendarDay-DATE(YEAR(CalendarDay),1,0)))</f>
        <v>Day 147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DaysAndWeeks+DATE(CalendarYear,5,1)-WEEKDAY(DATE(CalendarYear,5,1),(WeekStart="MON")+1)+29</f>
        <v>42883</v>
      </c>
      <c r="D15" s="9">
        <f ca="1"/>
        <v>42884</v>
      </c>
      <c r="E15" s="8">
        <f ca="1"/>
        <v>42885</v>
      </c>
      <c r="F15" s="9">
        <f ca="1"/>
        <v>42886</v>
      </c>
      <c r="G15" s="8">
        <f ca="1"/>
        <v>42887</v>
      </c>
      <c r="H15" s="9">
        <f ca="1"/>
        <v>42888</v>
      </c>
      <c r="I15" s="8">
        <f ca="1"/>
        <v>42889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22/Day 148</v>
      </c>
      <c r="D16" s="12" t="str">
        <f ca="1">IF(WEEKDAY(CalendarDay)=WeekStartValue,CONCATENATE("Week ",WEEKNUM(CalendarDay),"/Day ",CalendarDay-DATE(YEAR(CalendarDay),1,0)),CONCATENATE("Day ",CalendarDay-DATE(YEAR(CalendarDay),1,0)))</f>
        <v>Day 149</v>
      </c>
      <c r="E16" s="11" t="str">
        <f ca="1">IF(WEEKDAY(CalendarDay)=WeekStartValue,CONCATENATE("Week ",WEEKNUM(CalendarDay),"/Day ",CalendarDay-DATE(YEAR(CalendarDay),1,0)),CONCATENATE("Day ",CalendarDay-DATE(YEAR(CalendarDay),1,0)))</f>
        <v>Day 150</v>
      </c>
      <c r="F16" s="12" t="str">
        <f ca="1">IF(WEEKDAY(CalendarDay)=WeekStartValue,CONCATENATE("Week ",WEEKNUM(CalendarDay),"/Day ",CalendarDay-DATE(YEAR(CalendarDay),1,0)),CONCATENATE("Day ",CalendarDay-DATE(YEAR(CalendarDay),1,0)))</f>
        <v>Day 151</v>
      </c>
      <c r="G16" s="11" t="str">
        <f ca="1">IF(WEEKDAY(CalendarDay)=WeekStartValue,CONCATENATE("Week ",WEEKNUM(CalendarDay),"/Day ",CalendarDay-DATE(YEAR(CalendarDay),1,0)),CONCATENATE("Day ",CalendarDay-DATE(YEAR(CalendarDay),1,0)))</f>
        <v>Day 152</v>
      </c>
      <c r="H16" s="12" t="str">
        <f ca="1">IF(WEEKDAY(CalendarDay)=WeekStartValue,CONCATENATE("Week ",WEEKNUM(CalendarDay),"/Day ",CalendarDay-DATE(YEAR(CalendarDay),1,0)),CONCATENATE("Day ",CalendarDay-DATE(YEAR(CalendarDay),1,0)))</f>
        <v>Day 153</v>
      </c>
      <c r="I16" s="11" t="str">
        <f ca="1">IF(WEEKDAY(CalendarDay)=WeekStartValue,CONCATENATE("Week ",WEEKNUM(CalendarDay),"/Day ",CalendarDay-DATE(YEAR(CalendarDay),1,0)),CONCATENATE("Day ",CalendarDay-DATE(YEAR(CalendarDay),1,0)))</f>
        <v>Day 154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DaysAndWeeks+DATE(CalendarYear,5,1)-WEEKDAY(DATE(CalendarYear,5,1),(WeekStart="MON")+1)+36</f>
        <v>42890</v>
      </c>
      <c r="D19" s="9">
        <f ca="1"/>
        <v>42891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23/Day 155</v>
      </c>
      <c r="D20" s="2" t="str">
        <f ca="1">IF(WEEKDAY(CalendarDay)=WeekStartValue,CONCATENATE("Week ",WEEKNUM(CalendarDay),"/Day ",CalendarDay-DATE(YEAR(CalendarDay),1,0)),CONCATENATE("Day ",CalendarDay-DATE(YEAR(CalendarDay),1,0)))</f>
        <v>Day 156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31" priority="2">
      <formula>AND(DAY(C15)&gt;=1,DAY(C15)&lt;=15)</formula>
    </cfRule>
  </conditionalFormatting>
  <conditionalFormatting sqref="C3:H3">
    <cfRule type="expression" dxfId="30" priority="1">
      <formula>DAY(C3)&gt;8</formula>
    </cfRule>
  </conditionalFormatting>
  <conditionalFormatting sqref="C4:I4">
    <cfRule type="expression" dxfId="29" priority="3">
      <formula>DAY(C3)&gt;8</formula>
    </cfRule>
  </conditionalFormatting>
  <conditionalFormatting sqref="C16:I16 C20:D20 C17:D17 F17:I17">
    <cfRule type="expression" dxfId="28" priority="4">
      <formula>AND(DAY(C15)&gt;=1,DAY(C15)&lt;=15)</formula>
    </cfRule>
  </conditionalFormatting>
  <dataValidations count="9">
    <dataValidation allowBlank="1" showInputMessage="1" showErrorMessage="1" prompt="May month calendar" sqref="A1" xr:uid="{00000000-0002-0000-04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400-000001000000}"/>
    <dataValidation allowBlank="1" showInputMessage="1" showErrorMessage="1" prompt="Year in this cell is automatically updated based on year entered in January worksheet" sqref="B2" xr:uid="{00000000-0002-0000-04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400-000003000000}"/>
    <dataValidation allowBlank="1" showInputMessage="1" showErrorMessage="1" prompt="Enter daily notes based on the calendar day in below cells in this and rows 5, 8, 11, 14 and 17, columns C to I" sqref="C2" xr:uid="{00000000-0002-0000-04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400-000005000000}"/>
    <dataValidation allowBlank="1" showInputMessage="1" showErrorMessage="1" prompt="Week and/or day count in this and rows 7, 10, 13, 16 &amp; 20, are automatically updated" sqref="C4" xr:uid="{00000000-0002-0000-0400-000006000000}"/>
    <dataValidation allowBlank="1" showInputMessage="1" showErrorMessage="1" prompt="Enter Notes in cell below" sqref="E17" xr:uid="{00000000-0002-0000-0400-000007000000}"/>
    <dataValidation allowBlank="1" showInputMessage="1" showErrorMessage="1" prompt="Enter Notes in this cell" sqref="E18:I20" xr:uid="{00000000-0002-0000-04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4" tint="0.79998168889431442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7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DaysAndWeeks+DATE(CalendarYear,6,1)-WEEKDAY(DATE(CalendarYear,6,1),(WeekStart="MON")+1)+1</f>
        <v>42883</v>
      </c>
      <c r="D3" s="9">
        <f ca="1"/>
        <v>42884</v>
      </c>
      <c r="E3" s="8">
        <f ca="1"/>
        <v>42885</v>
      </c>
      <c r="F3" s="9">
        <f ca="1"/>
        <v>42886</v>
      </c>
      <c r="G3" s="8">
        <f ca="1"/>
        <v>42887</v>
      </c>
      <c r="H3" s="9">
        <f ca="1"/>
        <v>42888</v>
      </c>
      <c r="I3" s="8">
        <f ca="1"/>
        <v>42889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148</v>
      </c>
      <c r="D4" s="12" t="str">
        <f t="shared" ca="1" si="1"/>
        <v>Day 149</v>
      </c>
      <c r="E4" s="11" t="str">
        <f t="shared" ca="1" si="1"/>
        <v>Day 150</v>
      </c>
      <c r="F4" s="12" t="str">
        <f t="shared" ca="1" si="1"/>
        <v>Day 151</v>
      </c>
      <c r="G4" s="11" t="str">
        <f t="shared" ca="1" si="1"/>
        <v>Week 22/Day 152</v>
      </c>
      <c r="H4" s="12" t="str">
        <f t="shared" ca="1" si="1"/>
        <v>Day 153</v>
      </c>
      <c r="I4" s="11" t="str">
        <f t="shared" ca="1" si="1"/>
        <v>Day 154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DaysAndWeeks+DATE(CalendarYear,6,1)-WEEKDAY(DATE(CalendarYear,6,1),(WeekStart="MON")+1)+8</f>
        <v>42890</v>
      </c>
      <c r="D6" s="9">
        <f ca="1"/>
        <v>42891</v>
      </c>
      <c r="E6" s="8">
        <f ca="1"/>
        <v>42892</v>
      </c>
      <c r="F6" s="9">
        <f ca="1"/>
        <v>42893</v>
      </c>
      <c r="G6" s="8">
        <f ca="1"/>
        <v>42894</v>
      </c>
      <c r="H6" s="9">
        <f ca="1"/>
        <v>42895</v>
      </c>
      <c r="I6" s="8">
        <f ca="1"/>
        <v>42896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23/Day 155</v>
      </c>
      <c r="D7" s="12" t="str">
        <f ca="1">IF(WEEKDAY(CalendarDay)=WeekStartValue,CONCATENATE("Week ",WEEKNUM(CalendarDay),"/Day ",CalendarDay-DATE(YEAR(CalendarDay),1,0)),CONCATENATE("Day ",CalendarDay-DATE(YEAR(CalendarDay),1,0)))</f>
        <v>Day 156</v>
      </c>
      <c r="E7" s="11" t="str">
        <f ca="1">IF(WEEKDAY(CalendarDay)=WeekStartValue,CONCATENATE("Week ",WEEKNUM(CalendarDay),"/Day ",CalendarDay-DATE(YEAR(CalendarDay),1,0)),CONCATENATE("Day ",CalendarDay-DATE(YEAR(CalendarDay),1,0)))</f>
        <v>Day 157</v>
      </c>
      <c r="F7" s="12" t="str">
        <f ca="1">IF(WEEKDAY(CalendarDay)=WeekStartValue,CONCATENATE("Week ",WEEKNUM(CalendarDay),"/Day ",CalendarDay-DATE(YEAR(CalendarDay),1,0)),CONCATENATE("Day ",CalendarDay-DATE(YEAR(CalendarDay),1,0)))</f>
        <v>Day 158</v>
      </c>
      <c r="G7" s="11" t="str">
        <f ca="1">IF(WEEKDAY(CalendarDay)=WeekStartValue,CONCATENATE("Week ",WEEKNUM(CalendarDay),"/Day ",CalendarDay-DATE(YEAR(CalendarDay),1,0)),CONCATENATE("Day ",CalendarDay-DATE(YEAR(CalendarDay),1,0)))</f>
        <v>Day 159</v>
      </c>
      <c r="H7" s="12" t="str">
        <f ca="1">IF(WEEKDAY(CalendarDay)=WeekStartValue,CONCATENATE("Week ",WEEKNUM(CalendarDay),"/Day ",CalendarDay-DATE(YEAR(CalendarDay),1,0)),CONCATENATE("Day ",CalendarDay-DATE(YEAR(CalendarDay),1,0)))</f>
        <v>Day 160</v>
      </c>
      <c r="I7" s="11" t="str">
        <f ca="1">IF(WEEKDAY(CalendarDay)=WeekStartValue,CONCATENATE("Week ",WEEKNUM(CalendarDay),"/Day ",CalendarDay-DATE(YEAR(CalendarDay),1,0)),CONCATENATE("Day ",CalendarDay-DATE(YEAR(CalendarDay),1,0)))</f>
        <v>Day 161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DaysAndWeeks+DATE(CalendarYear,6,1)-WEEKDAY(DATE(CalendarYear,6,1),(WeekStart="MON")+1)+15</f>
        <v>42897</v>
      </c>
      <c r="D9" s="9">
        <f ca="1"/>
        <v>42898</v>
      </c>
      <c r="E9" s="8">
        <f ca="1"/>
        <v>42899</v>
      </c>
      <c r="F9" s="9">
        <f ca="1"/>
        <v>42900</v>
      </c>
      <c r="G9" s="8">
        <f ca="1"/>
        <v>42901</v>
      </c>
      <c r="H9" s="9">
        <f ca="1"/>
        <v>42902</v>
      </c>
      <c r="I9" s="8">
        <f ca="1"/>
        <v>42903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24/Day 162</v>
      </c>
      <c r="D10" s="12" t="str">
        <f ca="1">IF(WEEKDAY(CalendarDay)=WeekStartValue,CONCATENATE("Week ",WEEKNUM(CalendarDay),"/Day ",CalendarDay-DATE(YEAR(CalendarDay),1,0)),CONCATENATE("Day ",CalendarDay-DATE(YEAR(CalendarDay),1,0)))</f>
        <v>Day 163</v>
      </c>
      <c r="E10" s="11" t="str">
        <f ca="1">IF(WEEKDAY(CalendarDay)=WeekStartValue,CONCATENATE("Week ",WEEKNUM(CalendarDay),"/Day ",CalendarDay-DATE(YEAR(CalendarDay),1,0)),CONCATENATE("Day ",CalendarDay-DATE(YEAR(CalendarDay),1,0)))</f>
        <v>Day 164</v>
      </c>
      <c r="F10" s="12" t="str">
        <f ca="1">IF(WEEKDAY(CalendarDay)=WeekStartValue,CONCATENATE("Week ",WEEKNUM(CalendarDay),"/Day ",CalendarDay-DATE(YEAR(CalendarDay),1,0)),CONCATENATE("Day ",CalendarDay-DATE(YEAR(CalendarDay),1,0)))</f>
        <v>Day 165</v>
      </c>
      <c r="G10" s="11" t="str">
        <f ca="1">IF(WEEKDAY(CalendarDay)=WeekStartValue,CONCATENATE("Week ",WEEKNUM(CalendarDay),"/Day ",CalendarDay-DATE(YEAR(CalendarDay),1,0)),CONCATENATE("Day ",CalendarDay-DATE(YEAR(CalendarDay),1,0)))</f>
        <v>Day 166</v>
      </c>
      <c r="H10" s="12" t="str">
        <f ca="1">IF(WEEKDAY(CalendarDay)=WeekStartValue,CONCATENATE("Week ",WEEKNUM(CalendarDay),"/Day ",CalendarDay-DATE(YEAR(CalendarDay),1,0)),CONCATENATE("Day ",CalendarDay-DATE(YEAR(CalendarDay),1,0)))</f>
        <v>Day 167</v>
      </c>
      <c r="I10" s="11" t="str">
        <f ca="1">IF(WEEKDAY(CalendarDay)=WeekStartValue,CONCATENATE("Week ",WEEKNUM(CalendarDay),"/Day ",CalendarDay-DATE(YEAR(CalendarDay),1,0)),CONCATENATE("Day ",CalendarDay-DATE(YEAR(CalendarDay),1,0)))</f>
        <v>Day 168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DaysAndWeeks+DATE(CalendarYear,6,1)-WEEKDAY(DATE(CalendarYear,6,1),(WeekStart="MON")+1)+22</f>
        <v>42904</v>
      </c>
      <c r="D12" s="9">
        <f ca="1"/>
        <v>42905</v>
      </c>
      <c r="E12" s="8">
        <f ca="1"/>
        <v>42906</v>
      </c>
      <c r="F12" s="9">
        <f ca="1"/>
        <v>42907</v>
      </c>
      <c r="G12" s="8">
        <f ca="1"/>
        <v>42908</v>
      </c>
      <c r="H12" s="9">
        <f ca="1"/>
        <v>42909</v>
      </c>
      <c r="I12" s="8">
        <f ca="1"/>
        <v>42910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25/Day 169</v>
      </c>
      <c r="D13" s="12" t="str">
        <f ca="1">IF(WEEKDAY(CalendarDay)=WeekStartValue,CONCATENATE("Week ",WEEKNUM(CalendarDay),"/Day ",CalendarDay-DATE(YEAR(CalendarDay),1,0)),CONCATENATE("Day ",CalendarDay-DATE(YEAR(CalendarDay),1,0)))</f>
        <v>Day 170</v>
      </c>
      <c r="E13" s="11" t="str">
        <f ca="1">IF(WEEKDAY(CalendarDay)=WeekStartValue,CONCATENATE("Week ",WEEKNUM(CalendarDay),"/Day ",CalendarDay-DATE(YEAR(CalendarDay),1,0)),CONCATENATE("Day ",CalendarDay-DATE(YEAR(CalendarDay),1,0)))</f>
        <v>Day 171</v>
      </c>
      <c r="F13" s="12" t="str">
        <f ca="1">IF(WEEKDAY(CalendarDay)=WeekStartValue,CONCATENATE("Week ",WEEKNUM(CalendarDay),"/Day ",CalendarDay-DATE(YEAR(CalendarDay),1,0)),CONCATENATE("Day ",CalendarDay-DATE(YEAR(CalendarDay),1,0)))</f>
        <v>Day 172</v>
      </c>
      <c r="G13" s="11" t="str">
        <f ca="1">IF(WEEKDAY(CalendarDay)=WeekStartValue,CONCATENATE("Week ",WEEKNUM(CalendarDay),"/Day ",CalendarDay-DATE(YEAR(CalendarDay),1,0)),CONCATENATE("Day ",CalendarDay-DATE(YEAR(CalendarDay),1,0)))</f>
        <v>Day 173</v>
      </c>
      <c r="H13" s="12" t="str">
        <f ca="1">IF(WEEKDAY(CalendarDay)=WeekStartValue,CONCATENATE("Week ",WEEKNUM(CalendarDay),"/Day ",CalendarDay-DATE(YEAR(CalendarDay),1,0)),CONCATENATE("Day ",CalendarDay-DATE(YEAR(CalendarDay),1,0)))</f>
        <v>Day 174</v>
      </c>
      <c r="I13" s="11" t="str">
        <f ca="1">IF(WEEKDAY(CalendarDay)=WeekStartValue,CONCATENATE("Week ",WEEKNUM(CalendarDay),"/Day ",CalendarDay-DATE(YEAR(CalendarDay),1,0)),CONCATENATE("Day ",CalendarDay-DATE(YEAR(CalendarDay),1,0)))</f>
        <v>Day 175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DaysAndWeeks+DATE(CalendarYear,6,1)-WEEKDAY(DATE(CalendarYear,6,1),(WeekStart="MON")+1)+29</f>
        <v>42911</v>
      </c>
      <c r="D15" s="9">
        <f ca="1"/>
        <v>42912</v>
      </c>
      <c r="E15" s="8">
        <f ca="1"/>
        <v>42913</v>
      </c>
      <c r="F15" s="9">
        <f ca="1"/>
        <v>42914</v>
      </c>
      <c r="G15" s="8">
        <f ca="1"/>
        <v>42915</v>
      </c>
      <c r="H15" s="9">
        <f ca="1"/>
        <v>42916</v>
      </c>
      <c r="I15" s="8">
        <f ca="1"/>
        <v>42917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26/Day 176</v>
      </c>
      <c r="D16" s="12" t="str">
        <f ca="1">IF(WEEKDAY(CalendarDay)=WeekStartValue,CONCATENATE("Week ",WEEKNUM(CalendarDay),"/Day ",CalendarDay-DATE(YEAR(CalendarDay),1,0)),CONCATENATE("Day ",CalendarDay-DATE(YEAR(CalendarDay),1,0)))</f>
        <v>Day 177</v>
      </c>
      <c r="E16" s="11" t="str">
        <f ca="1">IF(WEEKDAY(CalendarDay)=WeekStartValue,CONCATENATE("Week ",WEEKNUM(CalendarDay),"/Day ",CalendarDay-DATE(YEAR(CalendarDay),1,0)),CONCATENATE("Day ",CalendarDay-DATE(YEAR(CalendarDay),1,0)))</f>
        <v>Day 178</v>
      </c>
      <c r="F16" s="12" t="str">
        <f ca="1">IF(WEEKDAY(CalendarDay)=WeekStartValue,CONCATENATE("Week ",WEEKNUM(CalendarDay),"/Day ",CalendarDay-DATE(YEAR(CalendarDay),1,0)),CONCATENATE("Day ",CalendarDay-DATE(YEAR(CalendarDay),1,0)))</f>
        <v>Day 179</v>
      </c>
      <c r="G16" s="11" t="str">
        <f ca="1">IF(WEEKDAY(CalendarDay)=WeekStartValue,CONCATENATE("Week ",WEEKNUM(CalendarDay),"/Day ",CalendarDay-DATE(YEAR(CalendarDay),1,0)),CONCATENATE("Day ",CalendarDay-DATE(YEAR(CalendarDay),1,0)))</f>
        <v>Day 180</v>
      </c>
      <c r="H16" s="12" t="str">
        <f ca="1">IF(WEEKDAY(CalendarDay)=WeekStartValue,CONCATENATE("Week ",WEEKNUM(CalendarDay),"/Day ",CalendarDay-DATE(YEAR(CalendarDay),1,0)),CONCATENATE("Day ",CalendarDay-DATE(YEAR(CalendarDay),1,0)))</f>
        <v>Day 181</v>
      </c>
      <c r="I16" s="11" t="str">
        <f ca="1">IF(WEEKDAY(CalendarDay)=WeekStartValue,CONCATENATE("Week ",WEEKNUM(CalendarDay),"/Day ",CalendarDay-DATE(YEAR(CalendarDay),1,0)),CONCATENATE("Day ",CalendarDay-DATE(YEAR(CalendarDay),1,0)))</f>
        <v>Day 182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DaysAndWeeks+DATE(CalendarYear,6,1)-WEEKDAY(DATE(CalendarYear,6,1),(WeekStart="MON")+1)+36</f>
        <v>42918</v>
      </c>
      <c r="D19" s="9">
        <f ca="1"/>
        <v>42919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27/Day 183</v>
      </c>
      <c r="D20" s="2" t="str">
        <f ca="1">IF(WEEKDAY(CalendarDay)=WeekStartValue,CONCATENATE("Week ",WEEKNUM(CalendarDay),"/Day ",CalendarDay-DATE(YEAR(CalendarDay),1,0)),CONCATENATE("Day ",CalendarDay-DATE(YEAR(CalendarDay),1,0)))</f>
        <v>Day 184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27" priority="2">
      <formula>AND(DAY(C15)&gt;=1,DAY(C15)&lt;=15)</formula>
    </cfRule>
  </conditionalFormatting>
  <conditionalFormatting sqref="C3:H3">
    <cfRule type="expression" dxfId="26" priority="1">
      <formula>DAY(C3)&gt;8</formula>
    </cfRule>
  </conditionalFormatting>
  <conditionalFormatting sqref="C4:I4">
    <cfRule type="expression" dxfId="25" priority="3">
      <formula>DAY(C3)&gt;8</formula>
    </cfRule>
  </conditionalFormatting>
  <conditionalFormatting sqref="C16:I16 C20:D20 C17:D17 F17:I17">
    <cfRule type="expression" dxfId="24" priority="4">
      <formula>AND(DAY(C15)&gt;=1,DAY(C15)&lt;=15)</formula>
    </cfRule>
  </conditionalFormatting>
  <dataValidations count="9">
    <dataValidation allowBlank="1" showInputMessage="1" showErrorMessage="1" prompt="June month calendar" sqref="A1" xr:uid="{00000000-0002-0000-05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500-000001000000}"/>
    <dataValidation allowBlank="1" showInputMessage="1" showErrorMessage="1" prompt="Year in this cell is automatically updated based on year entered in January worksheet" sqref="B2" xr:uid="{00000000-0002-0000-05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500-000003000000}"/>
    <dataValidation allowBlank="1" showInputMessage="1" showErrorMessage="1" prompt="Enter daily notes based on the calendar day in below cells in this and rows 5, 8, 11, 14 and 17, columns C to I" sqref="C2" xr:uid="{00000000-0002-0000-05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500-000005000000}"/>
    <dataValidation allowBlank="1" showInputMessage="1" showErrorMessage="1" prompt="Week and/or day count in this and rows 7, 10, 13, 16 &amp; 20, are automatically updated" sqref="C4" xr:uid="{00000000-0002-0000-0500-000006000000}"/>
    <dataValidation allowBlank="1" showInputMessage="1" showErrorMessage="1" prompt="Enter Notes in cell below" sqref="E17" xr:uid="{00000000-0002-0000-0500-000007000000}"/>
    <dataValidation allowBlank="1" showInputMessage="1" showErrorMessage="1" prompt="Enter Notes in this cell" sqref="E18:I20" xr:uid="{00000000-0002-0000-05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2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8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DaysAndWeeks+DATE(CalendarYear,7,1)-WEEKDAY(DATE(CalendarYear,7,1),(WeekStart="MON")+1)+1</f>
        <v>42911</v>
      </c>
      <c r="D3" s="9">
        <f ca="1"/>
        <v>42912</v>
      </c>
      <c r="E3" s="8">
        <f ca="1"/>
        <v>42913</v>
      </c>
      <c r="F3" s="9">
        <f ca="1"/>
        <v>42914</v>
      </c>
      <c r="G3" s="8">
        <f ca="1"/>
        <v>42915</v>
      </c>
      <c r="H3" s="9">
        <f ca="1"/>
        <v>42916</v>
      </c>
      <c r="I3" s="8">
        <f ca="1"/>
        <v>42917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176</v>
      </c>
      <c r="D4" s="12" t="str">
        <f t="shared" ca="1" si="1"/>
        <v>Day 177</v>
      </c>
      <c r="E4" s="11" t="str">
        <f t="shared" ca="1" si="1"/>
        <v>Day 178</v>
      </c>
      <c r="F4" s="12" t="str">
        <f t="shared" ca="1" si="1"/>
        <v>Day 179</v>
      </c>
      <c r="G4" s="11" t="str">
        <f t="shared" ca="1" si="1"/>
        <v>Day 180</v>
      </c>
      <c r="H4" s="12" t="str">
        <f t="shared" ca="1" si="1"/>
        <v>Day 181</v>
      </c>
      <c r="I4" s="11" t="str">
        <f t="shared" ca="1" si="1"/>
        <v>Week 26/Day 182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DaysAndWeeks+DATE(CalendarYear,7,1)-WEEKDAY(DATE(CalendarYear,7,1),(WeekStart="MON")+1)+8</f>
        <v>42918</v>
      </c>
      <c r="D6" s="9">
        <f ca="1"/>
        <v>42919</v>
      </c>
      <c r="E6" s="8">
        <f ca="1"/>
        <v>42920</v>
      </c>
      <c r="F6" s="9">
        <f ca="1"/>
        <v>42921</v>
      </c>
      <c r="G6" s="8">
        <f ca="1"/>
        <v>42922</v>
      </c>
      <c r="H6" s="9">
        <f ca="1"/>
        <v>42923</v>
      </c>
      <c r="I6" s="8">
        <f ca="1"/>
        <v>42924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27/Day 183</v>
      </c>
      <c r="D7" s="12" t="str">
        <f ca="1">IF(WEEKDAY(CalendarDay)=WeekStartValue,CONCATENATE("Week ",WEEKNUM(CalendarDay),"/Day ",CalendarDay-DATE(YEAR(CalendarDay),1,0)),CONCATENATE("Day ",CalendarDay-DATE(YEAR(CalendarDay),1,0)))</f>
        <v>Day 184</v>
      </c>
      <c r="E7" s="11" t="str">
        <f ca="1">IF(WEEKDAY(CalendarDay)=WeekStartValue,CONCATENATE("Week ",WEEKNUM(CalendarDay),"/Day ",CalendarDay-DATE(YEAR(CalendarDay),1,0)),CONCATENATE("Day ",CalendarDay-DATE(YEAR(CalendarDay),1,0)))</f>
        <v>Day 185</v>
      </c>
      <c r="F7" s="12" t="str">
        <f ca="1">IF(WEEKDAY(CalendarDay)=WeekStartValue,CONCATENATE("Week ",WEEKNUM(CalendarDay),"/Day ",CalendarDay-DATE(YEAR(CalendarDay),1,0)),CONCATENATE("Day ",CalendarDay-DATE(YEAR(CalendarDay),1,0)))</f>
        <v>Day 186</v>
      </c>
      <c r="G7" s="11" t="str">
        <f ca="1">IF(WEEKDAY(CalendarDay)=WeekStartValue,CONCATENATE("Week ",WEEKNUM(CalendarDay),"/Day ",CalendarDay-DATE(YEAR(CalendarDay),1,0)),CONCATENATE("Day ",CalendarDay-DATE(YEAR(CalendarDay),1,0)))</f>
        <v>Day 187</v>
      </c>
      <c r="H7" s="12" t="str">
        <f ca="1">IF(WEEKDAY(CalendarDay)=WeekStartValue,CONCATENATE("Week ",WEEKNUM(CalendarDay),"/Day ",CalendarDay-DATE(YEAR(CalendarDay),1,0)),CONCATENATE("Day ",CalendarDay-DATE(YEAR(CalendarDay),1,0)))</f>
        <v>Day 188</v>
      </c>
      <c r="I7" s="11" t="str">
        <f ca="1">IF(WEEKDAY(CalendarDay)=WeekStartValue,CONCATENATE("Week ",WEEKNUM(CalendarDay),"/Day ",CalendarDay-DATE(YEAR(CalendarDay),1,0)),CONCATENATE("Day ",CalendarDay-DATE(YEAR(CalendarDay),1,0)))</f>
        <v>Day 189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DaysAndWeeks+DATE(CalendarYear,7,1)-WEEKDAY(DATE(CalendarYear,7,1),(WeekStart="MON")+1)+15</f>
        <v>42925</v>
      </c>
      <c r="D9" s="9">
        <f ca="1"/>
        <v>42926</v>
      </c>
      <c r="E9" s="8">
        <f ca="1"/>
        <v>42927</v>
      </c>
      <c r="F9" s="9">
        <f ca="1"/>
        <v>42928</v>
      </c>
      <c r="G9" s="8">
        <f ca="1"/>
        <v>42929</v>
      </c>
      <c r="H9" s="9">
        <f ca="1"/>
        <v>42930</v>
      </c>
      <c r="I9" s="8">
        <f ca="1"/>
        <v>42931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28/Day 190</v>
      </c>
      <c r="D10" s="12" t="str">
        <f ca="1">IF(WEEKDAY(CalendarDay)=WeekStartValue,CONCATENATE("Week ",WEEKNUM(CalendarDay),"/Day ",CalendarDay-DATE(YEAR(CalendarDay),1,0)),CONCATENATE("Day ",CalendarDay-DATE(YEAR(CalendarDay),1,0)))</f>
        <v>Day 191</v>
      </c>
      <c r="E10" s="11" t="str">
        <f ca="1">IF(WEEKDAY(CalendarDay)=WeekStartValue,CONCATENATE("Week ",WEEKNUM(CalendarDay),"/Day ",CalendarDay-DATE(YEAR(CalendarDay),1,0)),CONCATENATE("Day ",CalendarDay-DATE(YEAR(CalendarDay),1,0)))</f>
        <v>Day 192</v>
      </c>
      <c r="F10" s="12" t="str">
        <f ca="1">IF(WEEKDAY(CalendarDay)=WeekStartValue,CONCATENATE("Week ",WEEKNUM(CalendarDay),"/Day ",CalendarDay-DATE(YEAR(CalendarDay),1,0)),CONCATENATE("Day ",CalendarDay-DATE(YEAR(CalendarDay),1,0)))</f>
        <v>Day 193</v>
      </c>
      <c r="G10" s="11" t="str">
        <f ca="1">IF(WEEKDAY(CalendarDay)=WeekStartValue,CONCATENATE("Week ",WEEKNUM(CalendarDay),"/Day ",CalendarDay-DATE(YEAR(CalendarDay),1,0)),CONCATENATE("Day ",CalendarDay-DATE(YEAR(CalendarDay),1,0)))</f>
        <v>Day 194</v>
      </c>
      <c r="H10" s="12" t="str">
        <f ca="1">IF(WEEKDAY(CalendarDay)=WeekStartValue,CONCATENATE("Week ",WEEKNUM(CalendarDay),"/Day ",CalendarDay-DATE(YEAR(CalendarDay),1,0)),CONCATENATE("Day ",CalendarDay-DATE(YEAR(CalendarDay),1,0)))</f>
        <v>Day 195</v>
      </c>
      <c r="I10" s="11" t="str">
        <f ca="1">IF(WEEKDAY(CalendarDay)=WeekStartValue,CONCATENATE("Week ",WEEKNUM(CalendarDay),"/Day ",CalendarDay-DATE(YEAR(CalendarDay),1,0)),CONCATENATE("Day ",CalendarDay-DATE(YEAR(CalendarDay),1,0)))</f>
        <v>Day 196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DaysAndWeeks+DATE(CalendarYear,7,1)-WEEKDAY(DATE(CalendarYear,7,1),(WeekStart="MON")+1)+22</f>
        <v>42932</v>
      </c>
      <c r="D12" s="9">
        <f ca="1"/>
        <v>42933</v>
      </c>
      <c r="E12" s="8">
        <f ca="1"/>
        <v>42934</v>
      </c>
      <c r="F12" s="9">
        <f ca="1"/>
        <v>42935</v>
      </c>
      <c r="G12" s="8">
        <f ca="1"/>
        <v>42936</v>
      </c>
      <c r="H12" s="9">
        <f ca="1"/>
        <v>42937</v>
      </c>
      <c r="I12" s="8">
        <f ca="1"/>
        <v>42938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29/Day 197</v>
      </c>
      <c r="D13" s="12" t="str">
        <f ca="1">IF(WEEKDAY(CalendarDay)=WeekStartValue,CONCATENATE("Week ",WEEKNUM(CalendarDay),"/Day ",CalendarDay-DATE(YEAR(CalendarDay),1,0)),CONCATENATE("Day ",CalendarDay-DATE(YEAR(CalendarDay),1,0)))</f>
        <v>Day 198</v>
      </c>
      <c r="E13" s="11" t="str">
        <f ca="1">IF(WEEKDAY(CalendarDay)=WeekStartValue,CONCATENATE("Week ",WEEKNUM(CalendarDay),"/Day ",CalendarDay-DATE(YEAR(CalendarDay),1,0)),CONCATENATE("Day ",CalendarDay-DATE(YEAR(CalendarDay),1,0)))</f>
        <v>Day 199</v>
      </c>
      <c r="F13" s="12" t="str">
        <f ca="1">IF(WEEKDAY(CalendarDay)=WeekStartValue,CONCATENATE("Week ",WEEKNUM(CalendarDay),"/Day ",CalendarDay-DATE(YEAR(CalendarDay),1,0)),CONCATENATE("Day ",CalendarDay-DATE(YEAR(CalendarDay),1,0)))</f>
        <v>Day 200</v>
      </c>
      <c r="G13" s="11" t="str">
        <f ca="1">IF(WEEKDAY(CalendarDay)=WeekStartValue,CONCATENATE("Week ",WEEKNUM(CalendarDay),"/Day ",CalendarDay-DATE(YEAR(CalendarDay),1,0)),CONCATENATE("Day ",CalendarDay-DATE(YEAR(CalendarDay),1,0)))</f>
        <v>Day 201</v>
      </c>
      <c r="H13" s="12" t="str">
        <f ca="1">IF(WEEKDAY(CalendarDay)=WeekStartValue,CONCATENATE("Week ",WEEKNUM(CalendarDay),"/Day ",CalendarDay-DATE(YEAR(CalendarDay),1,0)),CONCATENATE("Day ",CalendarDay-DATE(YEAR(CalendarDay),1,0)))</f>
        <v>Day 202</v>
      </c>
      <c r="I13" s="11" t="str">
        <f ca="1">IF(WEEKDAY(CalendarDay)=WeekStartValue,CONCATENATE("Week ",WEEKNUM(CalendarDay),"/Day ",CalendarDay-DATE(YEAR(CalendarDay),1,0)),CONCATENATE("Day ",CalendarDay-DATE(YEAR(CalendarDay),1,0)))</f>
        <v>Day 203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DaysAndWeeks+DATE(CalendarYear,7,1)-WEEKDAY(DATE(CalendarYear,7,1),(WeekStart="MON")+1)+29</f>
        <v>42939</v>
      </c>
      <c r="D15" s="9">
        <f ca="1"/>
        <v>42940</v>
      </c>
      <c r="E15" s="8">
        <f ca="1"/>
        <v>42941</v>
      </c>
      <c r="F15" s="9">
        <f ca="1"/>
        <v>42942</v>
      </c>
      <c r="G15" s="8">
        <f ca="1"/>
        <v>42943</v>
      </c>
      <c r="H15" s="9">
        <f ca="1"/>
        <v>42944</v>
      </c>
      <c r="I15" s="8">
        <f ca="1"/>
        <v>42945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30/Day 204</v>
      </c>
      <c r="D16" s="12" t="str">
        <f ca="1">IF(WEEKDAY(CalendarDay)=WeekStartValue,CONCATENATE("Week ",WEEKNUM(CalendarDay),"/Day ",CalendarDay-DATE(YEAR(CalendarDay),1,0)),CONCATENATE("Day ",CalendarDay-DATE(YEAR(CalendarDay),1,0)))</f>
        <v>Day 205</v>
      </c>
      <c r="E16" s="11" t="str">
        <f ca="1">IF(WEEKDAY(CalendarDay)=WeekStartValue,CONCATENATE("Week ",WEEKNUM(CalendarDay),"/Day ",CalendarDay-DATE(YEAR(CalendarDay),1,0)),CONCATENATE("Day ",CalendarDay-DATE(YEAR(CalendarDay),1,0)))</f>
        <v>Day 206</v>
      </c>
      <c r="F16" s="12" t="str">
        <f ca="1">IF(WEEKDAY(CalendarDay)=WeekStartValue,CONCATENATE("Week ",WEEKNUM(CalendarDay),"/Day ",CalendarDay-DATE(YEAR(CalendarDay),1,0)),CONCATENATE("Day ",CalendarDay-DATE(YEAR(CalendarDay),1,0)))</f>
        <v>Day 207</v>
      </c>
      <c r="G16" s="11" t="str">
        <f ca="1">IF(WEEKDAY(CalendarDay)=WeekStartValue,CONCATENATE("Week ",WEEKNUM(CalendarDay),"/Day ",CalendarDay-DATE(YEAR(CalendarDay),1,0)),CONCATENATE("Day ",CalendarDay-DATE(YEAR(CalendarDay),1,0)))</f>
        <v>Day 208</v>
      </c>
      <c r="H16" s="12" t="str">
        <f ca="1">IF(WEEKDAY(CalendarDay)=WeekStartValue,CONCATENATE("Week ",WEEKNUM(CalendarDay),"/Day ",CalendarDay-DATE(YEAR(CalendarDay),1,0)),CONCATENATE("Day ",CalendarDay-DATE(YEAR(CalendarDay),1,0)))</f>
        <v>Day 209</v>
      </c>
      <c r="I16" s="11" t="str">
        <f ca="1">IF(WEEKDAY(CalendarDay)=WeekStartValue,CONCATENATE("Week ",WEEKNUM(CalendarDay),"/Day ",CalendarDay-DATE(YEAR(CalendarDay),1,0)),CONCATENATE("Day ",CalendarDay-DATE(YEAR(CalendarDay),1,0)))</f>
        <v>Day 210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DaysAndWeeks+DATE(CalendarYear,7,1)-WEEKDAY(DATE(CalendarYear,7,1),(WeekStart="MON")+1)+36</f>
        <v>42946</v>
      </c>
      <c r="D19" s="9">
        <f ca="1"/>
        <v>42947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31/Day 211</v>
      </c>
      <c r="D20" s="2" t="str">
        <f ca="1">IF(WEEKDAY(CalendarDay)=WeekStartValue,CONCATENATE("Week ",WEEKNUM(CalendarDay),"/Day ",CalendarDay-DATE(YEAR(CalendarDay),1,0)),CONCATENATE("Day ",CalendarDay-DATE(YEAR(CalendarDay),1,0)))</f>
        <v>Day 212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23" priority="2">
      <formula>AND(DAY(C15)&gt;=1,DAY(C15)&lt;=15)</formula>
    </cfRule>
  </conditionalFormatting>
  <conditionalFormatting sqref="C3:H3">
    <cfRule type="expression" dxfId="22" priority="1">
      <formula>DAY(C3)&gt;8</formula>
    </cfRule>
  </conditionalFormatting>
  <conditionalFormatting sqref="C4:I4">
    <cfRule type="expression" dxfId="21" priority="3">
      <formula>DAY(C3)&gt;8</formula>
    </cfRule>
  </conditionalFormatting>
  <conditionalFormatting sqref="C16:I16 C20:D20 C17:D17 F17:I17">
    <cfRule type="expression" dxfId="20" priority="4">
      <formula>AND(DAY(C15)&gt;=1,DAY(C15)&lt;=15)</formula>
    </cfRule>
  </conditionalFormatting>
  <dataValidations count="9">
    <dataValidation allowBlank="1" showInputMessage="1" showErrorMessage="1" prompt="July month calendar" sqref="A1" xr:uid="{00000000-0002-0000-06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600-000001000000}"/>
    <dataValidation allowBlank="1" showInputMessage="1" showErrorMessage="1" prompt="Year in this cell is automatically updated based on year entered in January worksheet" sqref="B2" xr:uid="{00000000-0002-0000-06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600-000003000000}"/>
    <dataValidation allowBlank="1" showInputMessage="1" showErrorMessage="1" prompt="Enter daily notes based on the calendar day in below cells in this and rows 5, 8, 11, 14 and 17, columns C to I" sqref="C2" xr:uid="{00000000-0002-0000-06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600-000005000000}"/>
    <dataValidation allowBlank="1" showInputMessage="1" showErrorMessage="1" prompt="Week and/or day count in this and rows 7, 10, 13, 16 &amp; 20, are automatically updated" sqref="C4" xr:uid="{00000000-0002-0000-0600-000006000000}"/>
    <dataValidation allowBlank="1" showInputMessage="1" showErrorMessage="1" prompt="Enter Notes in cell below" sqref="E17" xr:uid="{00000000-0002-0000-0600-000007000000}"/>
    <dataValidation allowBlank="1" showInputMessage="1" showErrorMessage="1" prompt="Enter Notes in this cell" sqref="E18:I20" xr:uid="{00000000-0002-0000-06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2" tint="-9.9978637043366805E-2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9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DaysAndWeeks+DATE(CalendarYear,8,1)-WEEKDAY(DATE(CalendarYear,8,1),(WeekStart="MON")+1)+1</f>
        <v>42946</v>
      </c>
      <c r="D3" s="9">
        <f ca="1"/>
        <v>42947</v>
      </c>
      <c r="E3" s="8">
        <f ca="1"/>
        <v>42948</v>
      </c>
      <c r="F3" s="9">
        <f ca="1"/>
        <v>42949</v>
      </c>
      <c r="G3" s="8">
        <f ca="1"/>
        <v>42950</v>
      </c>
      <c r="H3" s="9">
        <f ca="1"/>
        <v>42951</v>
      </c>
      <c r="I3" s="8">
        <f ca="1"/>
        <v>42952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211</v>
      </c>
      <c r="D4" s="12" t="str">
        <f t="shared" ca="1" si="1"/>
        <v>Day 212</v>
      </c>
      <c r="E4" s="11" t="str">
        <f t="shared" ca="1" si="1"/>
        <v>Week 31/Day 213</v>
      </c>
      <c r="F4" s="12" t="str">
        <f t="shared" ca="1" si="1"/>
        <v>Day 214</v>
      </c>
      <c r="G4" s="11" t="str">
        <f t="shared" ca="1" si="1"/>
        <v>Day 215</v>
      </c>
      <c r="H4" s="12" t="str">
        <f t="shared" ca="1" si="1"/>
        <v>Day 216</v>
      </c>
      <c r="I4" s="11" t="str">
        <f t="shared" ca="1" si="1"/>
        <v>Day 217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DaysAndWeeks+DATE(CalendarYear,8,1)-WEEKDAY(DATE(CalendarYear,8,1),(WeekStart="MON")+1)+8</f>
        <v>42953</v>
      </c>
      <c r="D6" s="9">
        <f ca="1"/>
        <v>42954</v>
      </c>
      <c r="E6" s="8">
        <f ca="1"/>
        <v>42955</v>
      </c>
      <c r="F6" s="9">
        <f ca="1"/>
        <v>42956</v>
      </c>
      <c r="G6" s="8">
        <f ca="1"/>
        <v>42957</v>
      </c>
      <c r="H6" s="9">
        <f ca="1"/>
        <v>42958</v>
      </c>
      <c r="I6" s="8">
        <f ca="1"/>
        <v>42959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32/Day 218</v>
      </c>
      <c r="D7" s="12" t="str">
        <f ca="1">IF(WEEKDAY(CalendarDay)=WeekStartValue,CONCATENATE("Week ",WEEKNUM(CalendarDay),"/Day ",CalendarDay-DATE(YEAR(CalendarDay),1,0)),CONCATENATE("Day ",CalendarDay-DATE(YEAR(CalendarDay),1,0)))</f>
        <v>Day 219</v>
      </c>
      <c r="E7" s="11" t="str">
        <f ca="1">IF(WEEKDAY(CalendarDay)=WeekStartValue,CONCATENATE("Week ",WEEKNUM(CalendarDay),"/Day ",CalendarDay-DATE(YEAR(CalendarDay),1,0)),CONCATENATE("Day ",CalendarDay-DATE(YEAR(CalendarDay),1,0)))</f>
        <v>Day 220</v>
      </c>
      <c r="F7" s="12" t="str">
        <f ca="1">IF(WEEKDAY(CalendarDay)=WeekStartValue,CONCATENATE("Week ",WEEKNUM(CalendarDay),"/Day ",CalendarDay-DATE(YEAR(CalendarDay),1,0)),CONCATENATE("Day ",CalendarDay-DATE(YEAR(CalendarDay),1,0)))</f>
        <v>Day 221</v>
      </c>
      <c r="G7" s="11" t="str">
        <f ca="1">IF(WEEKDAY(CalendarDay)=WeekStartValue,CONCATENATE("Week ",WEEKNUM(CalendarDay),"/Day ",CalendarDay-DATE(YEAR(CalendarDay),1,0)),CONCATENATE("Day ",CalendarDay-DATE(YEAR(CalendarDay),1,0)))</f>
        <v>Day 222</v>
      </c>
      <c r="H7" s="12" t="str">
        <f ca="1">IF(WEEKDAY(CalendarDay)=WeekStartValue,CONCATENATE("Week ",WEEKNUM(CalendarDay),"/Day ",CalendarDay-DATE(YEAR(CalendarDay),1,0)),CONCATENATE("Day ",CalendarDay-DATE(YEAR(CalendarDay),1,0)))</f>
        <v>Day 223</v>
      </c>
      <c r="I7" s="11" t="str">
        <f ca="1">IF(WEEKDAY(CalendarDay)=WeekStartValue,CONCATENATE("Week ",WEEKNUM(CalendarDay),"/Day ",CalendarDay-DATE(YEAR(CalendarDay),1,0)),CONCATENATE("Day ",CalendarDay-DATE(YEAR(CalendarDay),1,0)))</f>
        <v>Day 224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DaysAndWeeks+DATE(CalendarYear,8,1)-WEEKDAY(DATE(CalendarYear,8,1),(WeekStart="MON")+1)+15</f>
        <v>42960</v>
      </c>
      <c r="D9" s="9">
        <f ca="1"/>
        <v>42961</v>
      </c>
      <c r="E9" s="8">
        <f ca="1"/>
        <v>42962</v>
      </c>
      <c r="F9" s="9">
        <f ca="1"/>
        <v>42963</v>
      </c>
      <c r="G9" s="8">
        <f ca="1"/>
        <v>42964</v>
      </c>
      <c r="H9" s="9">
        <f ca="1"/>
        <v>42965</v>
      </c>
      <c r="I9" s="8">
        <f ca="1"/>
        <v>42966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33/Day 225</v>
      </c>
      <c r="D10" s="12" t="str">
        <f ca="1">IF(WEEKDAY(CalendarDay)=WeekStartValue,CONCATENATE("Week ",WEEKNUM(CalendarDay),"/Day ",CalendarDay-DATE(YEAR(CalendarDay),1,0)),CONCATENATE("Day ",CalendarDay-DATE(YEAR(CalendarDay),1,0)))</f>
        <v>Day 226</v>
      </c>
      <c r="E10" s="11" t="str">
        <f ca="1">IF(WEEKDAY(CalendarDay)=WeekStartValue,CONCATENATE("Week ",WEEKNUM(CalendarDay),"/Day ",CalendarDay-DATE(YEAR(CalendarDay),1,0)),CONCATENATE("Day ",CalendarDay-DATE(YEAR(CalendarDay),1,0)))</f>
        <v>Day 227</v>
      </c>
      <c r="F10" s="12" t="str">
        <f ca="1">IF(WEEKDAY(CalendarDay)=WeekStartValue,CONCATENATE("Week ",WEEKNUM(CalendarDay),"/Day ",CalendarDay-DATE(YEAR(CalendarDay),1,0)),CONCATENATE("Day ",CalendarDay-DATE(YEAR(CalendarDay),1,0)))</f>
        <v>Day 228</v>
      </c>
      <c r="G10" s="11" t="str">
        <f ca="1">IF(WEEKDAY(CalendarDay)=WeekStartValue,CONCATENATE("Week ",WEEKNUM(CalendarDay),"/Day ",CalendarDay-DATE(YEAR(CalendarDay),1,0)),CONCATENATE("Day ",CalendarDay-DATE(YEAR(CalendarDay),1,0)))</f>
        <v>Day 229</v>
      </c>
      <c r="H10" s="12" t="str">
        <f ca="1">IF(WEEKDAY(CalendarDay)=WeekStartValue,CONCATENATE("Week ",WEEKNUM(CalendarDay),"/Day ",CalendarDay-DATE(YEAR(CalendarDay),1,0)),CONCATENATE("Day ",CalendarDay-DATE(YEAR(CalendarDay),1,0)))</f>
        <v>Day 230</v>
      </c>
      <c r="I10" s="11" t="str">
        <f ca="1">IF(WEEKDAY(CalendarDay)=WeekStartValue,CONCATENATE("Week ",WEEKNUM(CalendarDay),"/Day ",CalendarDay-DATE(YEAR(CalendarDay),1,0)),CONCATENATE("Day ",CalendarDay-DATE(YEAR(CalendarDay),1,0)))</f>
        <v>Day 231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DaysAndWeeks+DATE(CalendarYear,8,1)-WEEKDAY(DATE(CalendarYear,8,1),(WeekStart="MON")+1)+22</f>
        <v>42967</v>
      </c>
      <c r="D12" s="9">
        <f ca="1"/>
        <v>42968</v>
      </c>
      <c r="E12" s="8">
        <f ca="1"/>
        <v>42969</v>
      </c>
      <c r="F12" s="9">
        <f ca="1"/>
        <v>42970</v>
      </c>
      <c r="G12" s="8">
        <f ca="1"/>
        <v>42971</v>
      </c>
      <c r="H12" s="9">
        <f ca="1"/>
        <v>42972</v>
      </c>
      <c r="I12" s="8">
        <f ca="1"/>
        <v>42973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34/Day 232</v>
      </c>
      <c r="D13" s="12" t="str">
        <f ca="1">IF(WEEKDAY(CalendarDay)=WeekStartValue,CONCATENATE("Week ",WEEKNUM(CalendarDay),"/Day ",CalendarDay-DATE(YEAR(CalendarDay),1,0)),CONCATENATE("Day ",CalendarDay-DATE(YEAR(CalendarDay),1,0)))</f>
        <v>Day 233</v>
      </c>
      <c r="E13" s="11" t="str">
        <f ca="1">IF(WEEKDAY(CalendarDay)=WeekStartValue,CONCATENATE("Week ",WEEKNUM(CalendarDay),"/Day ",CalendarDay-DATE(YEAR(CalendarDay),1,0)),CONCATENATE("Day ",CalendarDay-DATE(YEAR(CalendarDay),1,0)))</f>
        <v>Day 234</v>
      </c>
      <c r="F13" s="12" t="str">
        <f ca="1">IF(WEEKDAY(CalendarDay)=WeekStartValue,CONCATENATE("Week ",WEEKNUM(CalendarDay),"/Day ",CalendarDay-DATE(YEAR(CalendarDay),1,0)),CONCATENATE("Day ",CalendarDay-DATE(YEAR(CalendarDay),1,0)))</f>
        <v>Day 235</v>
      </c>
      <c r="G13" s="11" t="str">
        <f ca="1">IF(WEEKDAY(CalendarDay)=WeekStartValue,CONCATENATE("Week ",WEEKNUM(CalendarDay),"/Day ",CalendarDay-DATE(YEAR(CalendarDay),1,0)),CONCATENATE("Day ",CalendarDay-DATE(YEAR(CalendarDay),1,0)))</f>
        <v>Day 236</v>
      </c>
      <c r="H13" s="12" t="str">
        <f ca="1">IF(WEEKDAY(CalendarDay)=WeekStartValue,CONCATENATE("Week ",WEEKNUM(CalendarDay),"/Day ",CalendarDay-DATE(YEAR(CalendarDay),1,0)),CONCATENATE("Day ",CalendarDay-DATE(YEAR(CalendarDay),1,0)))</f>
        <v>Day 237</v>
      </c>
      <c r="I13" s="11" t="str">
        <f ca="1">IF(WEEKDAY(CalendarDay)=WeekStartValue,CONCATENATE("Week ",WEEKNUM(CalendarDay),"/Day ",CalendarDay-DATE(YEAR(CalendarDay),1,0)),CONCATENATE("Day ",CalendarDay-DATE(YEAR(CalendarDay),1,0)))</f>
        <v>Day 238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DaysAndWeeks+DATE(CalendarYear,8,1)-WEEKDAY(DATE(CalendarYear,8,1),(WeekStart="MON")+1)+29</f>
        <v>42974</v>
      </c>
      <c r="D15" s="9">
        <f ca="1"/>
        <v>42975</v>
      </c>
      <c r="E15" s="8">
        <f ca="1"/>
        <v>42976</v>
      </c>
      <c r="F15" s="9">
        <f ca="1"/>
        <v>42977</v>
      </c>
      <c r="G15" s="8">
        <f ca="1"/>
        <v>42978</v>
      </c>
      <c r="H15" s="9">
        <f ca="1"/>
        <v>42979</v>
      </c>
      <c r="I15" s="8">
        <f ca="1"/>
        <v>42980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35/Day 239</v>
      </c>
      <c r="D16" s="12" t="str">
        <f ca="1">IF(WEEKDAY(CalendarDay)=WeekStartValue,CONCATENATE("Week ",WEEKNUM(CalendarDay),"/Day ",CalendarDay-DATE(YEAR(CalendarDay),1,0)),CONCATENATE("Day ",CalendarDay-DATE(YEAR(CalendarDay),1,0)))</f>
        <v>Day 240</v>
      </c>
      <c r="E16" s="11" t="str">
        <f ca="1">IF(WEEKDAY(CalendarDay)=WeekStartValue,CONCATENATE("Week ",WEEKNUM(CalendarDay),"/Day ",CalendarDay-DATE(YEAR(CalendarDay),1,0)),CONCATENATE("Day ",CalendarDay-DATE(YEAR(CalendarDay),1,0)))</f>
        <v>Day 241</v>
      </c>
      <c r="F16" s="12" t="str">
        <f ca="1">IF(WEEKDAY(CalendarDay)=WeekStartValue,CONCATENATE("Week ",WEEKNUM(CalendarDay),"/Day ",CalendarDay-DATE(YEAR(CalendarDay),1,0)),CONCATENATE("Day ",CalendarDay-DATE(YEAR(CalendarDay),1,0)))</f>
        <v>Day 242</v>
      </c>
      <c r="G16" s="11" t="str">
        <f ca="1">IF(WEEKDAY(CalendarDay)=WeekStartValue,CONCATENATE("Week ",WEEKNUM(CalendarDay),"/Day ",CalendarDay-DATE(YEAR(CalendarDay),1,0)),CONCATENATE("Day ",CalendarDay-DATE(YEAR(CalendarDay),1,0)))</f>
        <v>Day 243</v>
      </c>
      <c r="H16" s="12" t="str">
        <f ca="1">IF(WEEKDAY(CalendarDay)=WeekStartValue,CONCATENATE("Week ",WEEKNUM(CalendarDay),"/Day ",CalendarDay-DATE(YEAR(CalendarDay),1,0)),CONCATENATE("Day ",CalendarDay-DATE(YEAR(CalendarDay),1,0)))</f>
        <v>Day 244</v>
      </c>
      <c r="I16" s="11" t="str">
        <f ca="1">IF(WEEKDAY(CalendarDay)=WeekStartValue,CONCATENATE("Week ",WEEKNUM(CalendarDay),"/Day ",CalendarDay-DATE(YEAR(CalendarDay),1,0)),CONCATENATE("Day ",CalendarDay-DATE(YEAR(CalendarDay),1,0)))</f>
        <v>Day 245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DaysAndWeeks+DATE(CalendarYear,8,1)-WEEKDAY(DATE(CalendarYear,8,1),(WeekStart="MON")+1)+36</f>
        <v>42981</v>
      </c>
      <c r="D19" s="9">
        <f ca="1"/>
        <v>42982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36/Day 246</v>
      </c>
      <c r="D20" s="2" t="str">
        <f ca="1">IF(WEEKDAY(CalendarDay)=WeekStartValue,CONCATENATE("Week ",WEEKNUM(CalendarDay),"/Day ",CalendarDay-DATE(YEAR(CalendarDay),1,0)),CONCATENATE("Day ",CalendarDay-DATE(YEAR(CalendarDay),1,0)))</f>
        <v>Day 247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19" priority="2">
      <formula>AND(DAY(C15)&gt;=1,DAY(C15)&lt;=15)</formula>
    </cfRule>
  </conditionalFormatting>
  <conditionalFormatting sqref="C3:H3">
    <cfRule type="expression" dxfId="18" priority="1">
      <formula>DAY(C3)&gt;8</formula>
    </cfRule>
  </conditionalFormatting>
  <conditionalFormatting sqref="C4:I4">
    <cfRule type="expression" dxfId="17" priority="3">
      <formula>DAY(C3)&gt;8</formula>
    </cfRule>
  </conditionalFormatting>
  <conditionalFormatting sqref="C16:I16 C20:D20 C17:D17 F17:I17">
    <cfRule type="expression" dxfId="16" priority="4">
      <formula>AND(DAY(C15)&gt;=1,DAY(C15)&lt;=15)</formula>
    </cfRule>
  </conditionalFormatting>
  <dataValidations count="9">
    <dataValidation allowBlank="1" showInputMessage="1" showErrorMessage="1" prompt="August month calendar" sqref="A1" xr:uid="{00000000-0002-0000-07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700-000001000000}"/>
    <dataValidation allowBlank="1" showInputMessage="1" showErrorMessage="1" prompt="Year in this cell is automatically updated based on year entered in January worksheet" sqref="B2" xr:uid="{00000000-0002-0000-07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700-000003000000}"/>
    <dataValidation allowBlank="1" showInputMessage="1" showErrorMessage="1" prompt="Enter daily notes based on the calendar day in below cells in this and rows 5, 8, 11, 14 and 17, columns C to I" sqref="C2" xr:uid="{00000000-0002-0000-07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700-000005000000}"/>
    <dataValidation allowBlank="1" showInputMessage="1" showErrorMessage="1" prompt="Week and/or day count in this and rows 7, 10, 13, 16 &amp; 20, are automatically updated" sqref="C4" xr:uid="{00000000-0002-0000-0700-000006000000}"/>
    <dataValidation allowBlank="1" showInputMessage="1" showErrorMessage="1" prompt="Enter Notes in cell below" sqref="E17" xr:uid="{00000000-0002-0000-0700-000007000000}"/>
    <dataValidation allowBlank="1" showInputMessage="1" showErrorMessage="1" prompt="Enter Notes in this cell" sqref="E18:I20" xr:uid="{00000000-0002-0000-07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2" tint="-0.249977111117893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10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DaysAndWeeks+DATE(CalendarYear,9,1)-WEEKDAY(DATE(CalendarYear,9,1),(WeekStart="MON")+1)+1</f>
        <v>42974</v>
      </c>
      <c r="D3" s="9">
        <f ca="1"/>
        <v>42975</v>
      </c>
      <c r="E3" s="8">
        <f ca="1"/>
        <v>42976</v>
      </c>
      <c r="F3" s="9">
        <f ca="1"/>
        <v>42977</v>
      </c>
      <c r="G3" s="8">
        <f ca="1"/>
        <v>42978</v>
      </c>
      <c r="H3" s="9">
        <f ca="1"/>
        <v>42979</v>
      </c>
      <c r="I3" s="8">
        <f ca="1"/>
        <v>42980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239</v>
      </c>
      <c r="D4" s="12" t="str">
        <f t="shared" ca="1" si="1"/>
        <v>Day 240</v>
      </c>
      <c r="E4" s="11" t="str">
        <f t="shared" ca="1" si="1"/>
        <v>Day 241</v>
      </c>
      <c r="F4" s="12" t="str">
        <f t="shared" ca="1" si="1"/>
        <v>Day 242</v>
      </c>
      <c r="G4" s="11" t="str">
        <f t="shared" ca="1" si="1"/>
        <v>Day 243</v>
      </c>
      <c r="H4" s="12" t="str">
        <f t="shared" ca="1" si="1"/>
        <v>Week 35/Day 244</v>
      </c>
      <c r="I4" s="11" t="str">
        <f t="shared" ca="1" si="1"/>
        <v>Day 245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DaysAndWeeks+DATE(CalendarYear,9,1)-WEEKDAY(DATE(CalendarYear,9,1),(WeekStart="MON")+1)+8</f>
        <v>42981</v>
      </c>
      <c r="D6" s="9">
        <f ca="1"/>
        <v>42982</v>
      </c>
      <c r="E6" s="8">
        <f ca="1"/>
        <v>42983</v>
      </c>
      <c r="F6" s="9">
        <f ca="1"/>
        <v>42984</v>
      </c>
      <c r="G6" s="8">
        <f ca="1"/>
        <v>42985</v>
      </c>
      <c r="H6" s="9">
        <f ca="1"/>
        <v>42986</v>
      </c>
      <c r="I6" s="8">
        <f ca="1"/>
        <v>42987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36/Day 246</v>
      </c>
      <c r="D7" s="12" t="str">
        <f ca="1">IF(WEEKDAY(CalendarDay)=WeekStartValue,CONCATENATE("Week ",WEEKNUM(CalendarDay),"/Day ",CalendarDay-DATE(YEAR(CalendarDay),1,0)),CONCATENATE("Day ",CalendarDay-DATE(YEAR(CalendarDay),1,0)))</f>
        <v>Day 247</v>
      </c>
      <c r="E7" s="11" t="str">
        <f ca="1">IF(WEEKDAY(CalendarDay)=WeekStartValue,CONCATENATE("Week ",WEEKNUM(CalendarDay),"/Day ",CalendarDay-DATE(YEAR(CalendarDay),1,0)),CONCATENATE("Day ",CalendarDay-DATE(YEAR(CalendarDay),1,0)))</f>
        <v>Day 248</v>
      </c>
      <c r="F7" s="12" t="str">
        <f ca="1">IF(WEEKDAY(CalendarDay)=WeekStartValue,CONCATENATE("Week ",WEEKNUM(CalendarDay),"/Day ",CalendarDay-DATE(YEAR(CalendarDay),1,0)),CONCATENATE("Day ",CalendarDay-DATE(YEAR(CalendarDay),1,0)))</f>
        <v>Day 249</v>
      </c>
      <c r="G7" s="11" t="str">
        <f ca="1">IF(WEEKDAY(CalendarDay)=WeekStartValue,CONCATENATE("Week ",WEEKNUM(CalendarDay),"/Day ",CalendarDay-DATE(YEAR(CalendarDay),1,0)),CONCATENATE("Day ",CalendarDay-DATE(YEAR(CalendarDay),1,0)))</f>
        <v>Day 250</v>
      </c>
      <c r="H7" s="12" t="str">
        <f ca="1">IF(WEEKDAY(CalendarDay)=WeekStartValue,CONCATENATE("Week ",WEEKNUM(CalendarDay),"/Day ",CalendarDay-DATE(YEAR(CalendarDay),1,0)),CONCATENATE("Day ",CalendarDay-DATE(YEAR(CalendarDay),1,0)))</f>
        <v>Day 251</v>
      </c>
      <c r="I7" s="11" t="str">
        <f ca="1">IF(WEEKDAY(CalendarDay)=WeekStartValue,CONCATENATE("Week ",WEEKNUM(CalendarDay),"/Day ",CalendarDay-DATE(YEAR(CalendarDay),1,0)),CONCATENATE("Day ",CalendarDay-DATE(YEAR(CalendarDay),1,0)))</f>
        <v>Day 252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DaysAndWeeks+DATE(CalendarYear,9,1)-WEEKDAY(DATE(CalendarYear,9,1),(WeekStart="MON")+1)+15</f>
        <v>42988</v>
      </c>
      <c r="D9" s="9">
        <f ca="1"/>
        <v>42989</v>
      </c>
      <c r="E9" s="8">
        <f ca="1"/>
        <v>42990</v>
      </c>
      <c r="F9" s="9">
        <f ca="1"/>
        <v>42991</v>
      </c>
      <c r="G9" s="8">
        <f ca="1"/>
        <v>42992</v>
      </c>
      <c r="H9" s="9">
        <f ca="1"/>
        <v>42993</v>
      </c>
      <c r="I9" s="8">
        <f ca="1"/>
        <v>42994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37/Day 253</v>
      </c>
      <c r="D10" s="12" t="str">
        <f ca="1">IF(WEEKDAY(CalendarDay)=WeekStartValue,CONCATENATE("Week ",WEEKNUM(CalendarDay),"/Day ",CalendarDay-DATE(YEAR(CalendarDay),1,0)),CONCATENATE("Day ",CalendarDay-DATE(YEAR(CalendarDay),1,0)))</f>
        <v>Day 254</v>
      </c>
      <c r="E10" s="11" t="str">
        <f ca="1">IF(WEEKDAY(CalendarDay)=WeekStartValue,CONCATENATE("Week ",WEEKNUM(CalendarDay),"/Day ",CalendarDay-DATE(YEAR(CalendarDay),1,0)),CONCATENATE("Day ",CalendarDay-DATE(YEAR(CalendarDay),1,0)))</f>
        <v>Day 255</v>
      </c>
      <c r="F10" s="12" t="str">
        <f ca="1">IF(WEEKDAY(CalendarDay)=WeekStartValue,CONCATENATE("Week ",WEEKNUM(CalendarDay),"/Day ",CalendarDay-DATE(YEAR(CalendarDay),1,0)),CONCATENATE("Day ",CalendarDay-DATE(YEAR(CalendarDay),1,0)))</f>
        <v>Day 256</v>
      </c>
      <c r="G10" s="11" t="str">
        <f ca="1">IF(WEEKDAY(CalendarDay)=WeekStartValue,CONCATENATE("Week ",WEEKNUM(CalendarDay),"/Day ",CalendarDay-DATE(YEAR(CalendarDay),1,0)),CONCATENATE("Day ",CalendarDay-DATE(YEAR(CalendarDay),1,0)))</f>
        <v>Day 257</v>
      </c>
      <c r="H10" s="12" t="str">
        <f ca="1">IF(WEEKDAY(CalendarDay)=WeekStartValue,CONCATENATE("Week ",WEEKNUM(CalendarDay),"/Day ",CalendarDay-DATE(YEAR(CalendarDay),1,0)),CONCATENATE("Day ",CalendarDay-DATE(YEAR(CalendarDay),1,0)))</f>
        <v>Day 258</v>
      </c>
      <c r="I10" s="11" t="str">
        <f ca="1">IF(WEEKDAY(CalendarDay)=WeekStartValue,CONCATENATE("Week ",WEEKNUM(CalendarDay),"/Day ",CalendarDay-DATE(YEAR(CalendarDay),1,0)),CONCATENATE("Day ",CalendarDay-DATE(YEAR(CalendarDay),1,0)))</f>
        <v>Day 259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DaysAndWeeks+DATE(CalendarYear,9,1)-WEEKDAY(DATE(CalendarYear,9,1),(WeekStart="MON")+1)+22</f>
        <v>42995</v>
      </c>
      <c r="D12" s="9">
        <f ca="1"/>
        <v>42996</v>
      </c>
      <c r="E12" s="8">
        <f ca="1"/>
        <v>42997</v>
      </c>
      <c r="F12" s="9">
        <f ca="1"/>
        <v>42998</v>
      </c>
      <c r="G12" s="8">
        <f ca="1"/>
        <v>42999</v>
      </c>
      <c r="H12" s="9">
        <f ca="1"/>
        <v>43000</v>
      </c>
      <c r="I12" s="8">
        <f ca="1"/>
        <v>43001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38/Day 260</v>
      </c>
      <c r="D13" s="12" t="str">
        <f ca="1">IF(WEEKDAY(CalendarDay)=WeekStartValue,CONCATENATE("Week ",WEEKNUM(CalendarDay),"/Day ",CalendarDay-DATE(YEAR(CalendarDay),1,0)),CONCATENATE("Day ",CalendarDay-DATE(YEAR(CalendarDay),1,0)))</f>
        <v>Day 261</v>
      </c>
      <c r="E13" s="11" t="str">
        <f ca="1">IF(WEEKDAY(CalendarDay)=WeekStartValue,CONCATENATE("Week ",WEEKNUM(CalendarDay),"/Day ",CalendarDay-DATE(YEAR(CalendarDay),1,0)),CONCATENATE("Day ",CalendarDay-DATE(YEAR(CalendarDay),1,0)))</f>
        <v>Day 262</v>
      </c>
      <c r="F13" s="12" t="str">
        <f ca="1">IF(WEEKDAY(CalendarDay)=WeekStartValue,CONCATENATE("Week ",WEEKNUM(CalendarDay),"/Day ",CalendarDay-DATE(YEAR(CalendarDay),1,0)),CONCATENATE("Day ",CalendarDay-DATE(YEAR(CalendarDay),1,0)))</f>
        <v>Day 263</v>
      </c>
      <c r="G13" s="11" t="str">
        <f ca="1">IF(WEEKDAY(CalendarDay)=WeekStartValue,CONCATENATE("Week ",WEEKNUM(CalendarDay),"/Day ",CalendarDay-DATE(YEAR(CalendarDay),1,0)),CONCATENATE("Day ",CalendarDay-DATE(YEAR(CalendarDay),1,0)))</f>
        <v>Day 264</v>
      </c>
      <c r="H13" s="12" t="str">
        <f ca="1">IF(WEEKDAY(CalendarDay)=WeekStartValue,CONCATENATE("Week ",WEEKNUM(CalendarDay),"/Day ",CalendarDay-DATE(YEAR(CalendarDay),1,0)),CONCATENATE("Day ",CalendarDay-DATE(YEAR(CalendarDay),1,0)))</f>
        <v>Day 265</v>
      </c>
      <c r="I13" s="11" t="str">
        <f ca="1">IF(WEEKDAY(CalendarDay)=WeekStartValue,CONCATENATE("Week ",WEEKNUM(CalendarDay),"/Day ",CalendarDay-DATE(YEAR(CalendarDay),1,0)),CONCATENATE("Day ",CalendarDay-DATE(YEAR(CalendarDay),1,0)))</f>
        <v>Day 266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DaysAndWeeks+DATE(CalendarYear,9,1)-WEEKDAY(DATE(CalendarYear,9,1),(WeekStart="MON")+1)+29</f>
        <v>43002</v>
      </c>
      <c r="D15" s="9">
        <f ca="1"/>
        <v>43003</v>
      </c>
      <c r="E15" s="8">
        <f ca="1"/>
        <v>43004</v>
      </c>
      <c r="F15" s="9">
        <f ca="1"/>
        <v>43005</v>
      </c>
      <c r="G15" s="8">
        <f ca="1"/>
        <v>43006</v>
      </c>
      <c r="H15" s="9">
        <f ca="1"/>
        <v>43007</v>
      </c>
      <c r="I15" s="8">
        <f ca="1"/>
        <v>43008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39/Day 267</v>
      </c>
      <c r="D16" s="12" t="str">
        <f ca="1">IF(WEEKDAY(CalendarDay)=WeekStartValue,CONCATENATE("Week ",WEEKNUM(CalendarDay),"/Day ",CalendarDay-DATE(YEAR(CalendarDay),1,0)),CONCATENATE("Day ",CalendarDay-DATE(YEAR(CalendarDay),1,0)))</f>
        <v>Day 268</v>
      </c>
      <c r="E16" s="11" t="str">
        <f ca="1">IF(WEEKDAY(CalendarDay)=WeekStartValue,CONCATENATE("Week ",WEEKNUM(CalendarDay),"/Day ",CalendarDay-DATE(YEAR(CalendarDay),1,0)),CONCATENATE("Day ",CalendarDay-DATE(YEAR(CalendarDay),1,0)))</f>
        <v>Day 269</v>
      </c>
      <c r="F16" s="12" t="str">
        <f ca="1">IF(WEEKDAY(CalendarDay)=WeekStartValue,CONCATENATE("Week ",WEEKNUM(CalendarDay),"/Day ",CalendarDay-DATE(YEAR(CalendarDay),1,0)),CONCATENATE("Day ",CalendarDay-DATE(YEAR(CalendarDay),1,0)))</f>
        <v>Day 270</v>
      </c>
      <c r="G16" s="11" t="str">
        <f ca="1">IF(WEEKDAY(CalendarDay)=WeekStartValue,CONCATENATE("Week ",WEEKNUM(CalendarDay),"/Day ",CalendarDay-DATE(YEAR(CalendarDay),1,0)),CONCATENATE("Day ",CalendarDay-DATE(YEAR(CalendarDay),1,0)))</f>
        <v>Day 271</v>
      </c>
      <c r="H16" s="12" t="str">
        <f ca="1">IF(WEEKDAY(CalendarDay)=WeekStartValue,CONCATENATE("Week ",WEEKNUM(CalendarDay),"/Day ",CalendarDay-DATE(YEAR(CalendarDay),1,0)),CONCATENATE("Day ",CalendarDay-DATE(YEAR(CalendarDay),1,0)))</f>
        <v>Day 272</v>
      </c>
      <c r="I16" s="11" t="str">
        <f ca="1">IF(WEEKDAY(CalendarDay)=WeekStartValue,CONCATENATE("Week ",WEEKNUM(CalendarDay),"/Day ",CalendarDay-DATE(YEAR(CalendarDay),1,0)),CONCATENATE("Day ",CalendarDay-DATE(YEAR(CalendarDay),1,0)))</f>
        <v>Day 273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DaysAndWeeks+DATE(CalendarYear,9,1)-WEEKDAY(DATE(CalendarYear,9,1),(WeekStart="MON")+1)+36</f>
        <v>43009</v>
      </c>
      <c r="D19" s="9">
        <f ca="1"/>
        <v>43010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40/Day 274</v>
      </c>
      <c r="D20" s="2" t="str">
        <f ca="1">IF(WEEKDAY(CalendarDay)=WeekStartValue,CONCATENATE("Week ",WEEKNUM(CalendarDay),"/Day ",CalendarDay-DATE(YEAR(CalendarDay),1,0)),CONCATENATE("Day ",CalendarDay-DATE(YEAR(CalendarDay),1,0)))</f>
        <v>Day 275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15" priority="2">
      <formula>AND(DAY(C15)&gt;=1,DAY(C15)&lt;=15)</formula>
    </cfRule>
  </conditionalFormatting>
  <conditionalFormatting sqref="C3:H3">
    <cfRule type="expression" dxfId="14" priority="1">
      <formula>DAY(C3)&gt;8</formula>
    </cfRule>
  </conditionalFormatting>
  <conditionalFormatting sqref="C4:I4">
    <cfRule type="expression" dxfId="13" priority="3">
      <formula>DAY(C3)&gt;8</formula>
    </cfRule>
  </conditionalFormatting>
  <conditionalFormatting sqref="C16:I16 C20:D20 C17:D17 F17:I17">
    <cfRule type="expression" dxfId="12" priority="4">
      <formula>AND(DAY(C15)&gt;=1,DAY(C15)&lt;=15)</formula>
    </cfRule>
  </conditionalFormatting>
  <dataValidations count="9">
    <dataValidation allowBlank="1" showInputMessage="1" showErrorMessage="1" prompt="September month calendar" sqref="A1" xr:uid="{00000000-0002-0000-08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800-000001000000}"/>
    <dataValidation allowBlank="1" showInputMessage="1" showErrorMessage="1" prompt="Year in this cell is automatically updated based on year entered in January worksheet" sqref="B2" xr:uid="{00000000-0002-0000-08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800-000003000000}"/>
    <dataValidation allowBlank="1" showInputMessage="1" showErrorMessage="1" prompt="Enter daily notes based on the calendar day in below cells in this and rows 5, 8, 11, 14 and 17, columns C to I" sqref="C2" xr:uid="{00000000-0002-0000-08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800-000005000000}"/>
    <dataValidation allowBlank="1" showInputMessage="1" showErrorMessage="1" prompt="Week and/or day count in this and rows 7, 10, 13, 16 &amp; 20, are automatically updated" sqref="C4" xr:uid="{00000000-0002-0000-0800-000006000000}"/>
    <dataValidation allowBlank="1" showInputMessage="1" showErrorMessage="1" prompt="Enter Notes in cell below" sqref="E17" xr:uid="{00000000-0002-0000-0800-000007000000}"/>
    <dataValidation allowBlank="1" showInputMessage="1" showErrorMessage="1" prompt="Enter Notes in this cell" sqref="E18:I20" xr:uid="{00000000-0002-0000-08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2" tint="-0.499984740745262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11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DaysAndWeeks+DATE(CalendarYear,10,1)-WEEKDAY(DATE(CalendarYear,10,1),(WeekStart="MON")+1)+1</f>
        <v>43009</v>
      </c>
      <c r="D3" s="9">
        <f ca="1"/>
        <v>43010</v>
      </c>
      <c r="E3" s="8">
        <f ca="1"/>
        <v>43011</v>
      </c>
      <c r="F3" s="9">
        <f ca="1"/>
        <v>43012</v>
      </c>
      <c r="G3" s="8">
        <f ca="1"/>
        <v>43013</v>
      </c>
      <c r="H3" s="9">
        <f ca="1"/>
        <v>43014</v>
      </c>
      <c r="I3" s="8">
        <f ca="1"/>
        <v>43015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Week 40/Day 274</v>
      </c>
      <c r="D4" s="12" t="str">
        <f t="shared" ca="1" si="1"/>
        <v>Day 275</v>
      </c>
      <c r="E4" s="11" t="str">
        <f t="shared" ca="1" si="1"/>
        <v>Day 276</v>
      </c>
      <c r="F4" s="12" t="str">
        <f t="shared" ca="1" si="1"/>
        <v>Day 277</v>
      </c>
      <c r="G4" s="11" t="str">
        <f t="shared" ca="1" si="1"/>
        <v>Day 278</v>
      </c>
      <c r="H4" s="12" t="str">
        <f t="shared" ca="1" si="1"/>
        <v>Day 279</v>
      </c>
      <c r="I4" s="11" t="str">
        <f t="shared" ca="1" si="1"/>
        <v>Day 280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DaysAndWeeks+DATE(CalendarYear,10,1)-WEEKDAY(DATE(CalendarYear,10,1),(WeekStart="MON")+1)+8</f>
        <v>43016</v>
      </c>
      <c r="D6" s="9">
        <f ca="1"/>
        <v>43017</v>
      </c>
      <c r="E6" s="8">
        <f ca="1"/>
        <v>43018</v>
      </c>
      <c r="F6" s="9">
        <f ca="1"/>
        <v>43019</v>
      </c>
      <c r="G6" s="8">
        <f ca="1"/>
        <v>43020</v>
      </c>
      <c r="H6" s="9">
        <f ca="1"/>
        <v>43021</v>
      </c>
      <c r="I6" s="8">
        <f ca="1"/>
        <v>43022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41/Day 281</v>
      </c>
      <c r="D7" s="12" t="str">
        <f ca="1">IF(WEEKDAY(CalendarDay)=WeekStartValue,CONCATENATE("Week ",WEEKNUM(CalendarDay),"/Day ",CalendarDay-DATE(YEAR(CalendarDay),1,0)),CONCATENATE("Day ",CalendarDay-DATE(YEAR(CalendarDay),1,0)))</f>
        <v>Day 282</v>
      </c>
      <c r="E7" s="11" t="str">
        <f ca="1">IF(WEEKDAY(CalendarDay)=WeekStartValue,CONCATENATE("Week ",WEEKNUM(CalendarDay),"/Day ",CalendarDay-DATE(YEAR(CalendarDay),1,0)),CONCATENATE("Day ",CalendarDay-DATE(YEAR(CalendarDay),1,0)))</f>
        <v>Day 283</v>
      </c>
      <c r="F7" s="12" t="str">
        <f ca="1">IF(WEEKDAY(CalendarDay)=WeekStartValue,CONCATENATE("Week ",WEEKNUM(CalendarDay),"/Day ",CalendarDay-DATE(YEAR(CalendarDay),1,0)),CONCATENATE("Day ",CalendarDay-DATE(YEAR(CalendarDay),1,0)))</f>
        <v>Day 284</v>
      </c>
      <c r="G7" s="11" t="str">
        <f ca="1">IF(WEEKDAY(CalendarDay)=WeekStartValue,CONCATENATE("Week ",WEEKNUM(CalendarDay),"/Day ",CalendarDay-DATE(YEAR(CalendarDay),1,0)),CONCATENATE("Day ",CalendarDay-DATE(YEAR(CalendarDay),1,0)))</f>
        <v>Day 285</v>
      </c>
      <c r="H7" s="12" t="str">
        <f ca="1">IF(WEEKDAY(CalendarDay)=WeekStartValue,CONCATENATE("Week ",WEEKNUM(CalendarDay),"/Day ",CalendarDay-DATE(YEAR(CalendarDay),1,0)),CONCATENATE("Day ",CalendarDay-DATE(YEAR(CalendarDay),1,0)))</f>
        <v>Day 286</v>
      </c>
      <c r="I7" s="11" t="str">
        <f ca="1">IF(WEEKDAY(CalendarDay)=WeekStartValue,CONCATENATE("Week ",WEEKNUM(CalendarDay),"/Day ",CalendarDay-DATE(YEAR(CalendarDay),1,0)),CONCATENATE("Day ",CalendarDay-DATE(YEAR(CalendarDay),1,0)))</f>
        <v>Day 287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DaysAndWeeks+DATE(CalendarYear,10,1)-WEEKDAY(DATE(CalendarYear,10,1),(WeekStart="MON")+1)+15</f>
        <v>43023</v>
      </c>
      <c r="D9" s="9">
        <f ca="1"/>
        <v>43024</v>
      </c>
      <c r="E9" s="8">
        <f ca="1"/>
        <v>43025</v>
      </c>
      <c r="F9" s="9">
        <f ca="1"/>
        <v>43026</v>
      </c>
      <c r="G9" s="8">
        <f ca="1"/>
        <v>43027</v>
      </c>
      <c r="H9" s="9">
        <f ca="1"/>
        <v>43028</v>
      </c>
      <c r="I9" s="8">
        <f ca="1"/>
        <v>43029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42/Day 288</v>
      </c>
      <c r="D10" s="12" t="str">
        <f ca="1">IF(WEEKDAY(CalendarDay)=WeekStartValue,CONCATENATE("Week ",WEEKNUM(CalendarDay),"/Day ",CalendarDay-DATE(YEAR(CalendarDay),1,0)),CONCATENATE("Day ",CalendarDay-DATE(YEAR(CalendarDay),1,0)))</f>
        <v>Day 289</v>
      </c>
      <c r="E10" s="11" t="str">
        <f ca="1">IF(WEEKDAY(CalendarDay)=WeekStartValue,CONCATENATE("Week ",WEEKNUM(CalendarDay),"/Day ",CalendarDay-DATE(YEAR(CalendarDay),1,0)),CONCATENATE("Day ",CalendarDay-DATE(YEAR(CalendarDay),1,0)))</f>
        <v>Day 290</v>
      </c>
      <c r="F10" s="12" t="str">
        <f ca="1">IF(WEEKDAY(CalendarDay)=WeekStartValue,CONCATENATE("Week ",WEEKNUM(CalendarDay),"/Day ",CalendarDay-DATE(YEAR(CalendarDay),1,0)),CONCATENATE("Day ",CalendarDay-DATE(YEAR(CalendarDay),1,0)))</f>
        <v>Day 291</v>
      </c>
      <c r="G10" s="11" t="str">
        <f ca="1">IF(WEEKDAY(CalendarDay)=WeekStartValue,CONCATENATE("Week ",WEEKNUM(CalendarDay),"/Day ",CalendarDay-DATE(YEAR(CalendarDay),1,0)),CONCATENATE("Day ",CalendarDay-DATE(YEAR(CalendarDay),1,0)))</f>
        <v>Day 292</v>
      </c>
      <c r="H10" s="12" t="str">
        <f ca="1">IF(WEEKDAY(CalendarDay)=WeekStartValue,CONCATENATE("Week ",WEEKNUM(CalendarDay),"/Day ",CalendarDay-DATE(YEAR(CalendarDay),1,0)),CONCATENATE("Day ",CalendarDay-DATE(YEAR(CalendarDay),1,0)))</f>
        <v>Day 293</v>
      </c>
      <c r="I10" s="11" t="str">
        <f ca="1">IF(WEEKDAY(CalendarDay)=WeekStartValue,CONCATENATE("Week ",WEEKNUM(CalendarDay),"/Day ",CalendarDay-DATE(YEAR(CalendarDay),1,0)),CONCATENATE("Day ",CalendarDay-DATE(YEAR(CalendarDay),1,0)))</f>
        <v>Day 294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DaysAndWeeks+DATE(CalendarYear,10,1)-WEEKDAY(DATE(CalendarYear,10,1),(WeekStart="MON")+1)+22</f>
        <v>43030</v>
      </c>
      <c r="D12" s="9">
        <f ca="1"/>
        <v>43031</v>
      </c>
      <c r="E12" s="8">
        <f ca="1"/>
        <v>43032</v>
      </c>
      <c r="F12" s="9">
        <f ca="1"/>
        <v>43033</v>
      </c>
      <c r="G12" s="8">
        <f ca="1"/>
        <v>43034</v>
      </c>
      <c r="H12" s="9">
        <f ca="1"/>
        <v>43035</v>
      </c>
      <c r="I12" s="8">
        <f ca="1"/>
        <v>43036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43/Day 295</v>
      </c>
      <c r="D13" s="12" t="str">
        <f ca="1">IF(WEEKDAY(CalendarDay)=WeekStartValue,CONCATENATE("Week ",WEEKNUM(CalendarDay),"/Day ",CalendarDay-DATE(YEAR(CalendarDay),1,0)),CONCATENATE("Day ",CalendarDay-DATE(YEAR(CalendarDay),1,0)))</f>
        <v>Day 296</v>
      </c>
      <c r="E13" s="11" t="str">
        <f ca="1">IF(WEEKDAY(CalendarDay)=WeekStartValue,CONCATENATE("Week ",WEEKNUM(CalendarDay),"/Day ",CalendarDay-DATE(YEAR(CalendarDay),1,0)),CONCATENATE("Day ",CalendarDay-DATE(YEAR(CalendarDay),1,0)))</f>
        <v>Day 297</v>
      </c>
      <c r="F13" s="12" t="str">
        <f ca="1">IF(WEEKDAY(CalendarDay)=WeekStartValue,CONCATENATE("Week ",WEEKNUM(CalendarDay),"/Day ",CalendarDay-DATE(YEAR(CalendarDay),1,0)),CONCATENATE("Day ",CalendarDay-DATE(YEAR(CalendarDay),1,0)))</f>
        <v>Day 298</v>
      </c>
      <c r="G13" s="11" t="str">
        <f ca="1">IF(WEEKDAY(CalendarDay)=WeekStartValue,CONCATENATE("Week ",WEEKNUM(CalendarDay),"/Day ",CalendarDay-DATE(YEAR(CalendarDay),1,0)),CONCATENATE("Day ",CalendarDay-DATE(YEAR(CalendarDay),1,0)))</f>
        <v>Day 299</v>
      </c>
      <c r="H13" s="12" t="str">
        <f ca="1">IF(WEEKDAY(CalendarDay)=WeekStartValue,CONCATENATE("Week ",WEEKNUM(CalendarDay),"/Day ",CalendarDay-DATE(YEAR(CalendarDay),1,0)),CONCATENATE("Day ",CalendarDay-DATE(YEAR(CalendarDay),1,0)))</f>
        <v>Day 300</v>
      </c>
      <c r="I13" s="11" t="str">
        <f ca="1">IF(WEEKDAY(CalendarDay)=WeekStartValue,CONCATENATE("Week ",WEEKNUM(CalendarDay),"/Day ",CalendarDay-DATE(YEAR(CalendarDay),1,0)),CONCATENATE("Day ",CalendarDay-DATE(YEAR(CalendarDay),1,0)))</f>
        <v>Day 301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DaysAndWeeks+DATE(CalendarYear,10,1)-WEEKDAY(DATE(CalendarYear,10,1),(WeekStart="MON")+1)+29</f>
        <v>43037</v>
      </c>
      <c r="D15" s="9">
        <f ca="1"/>
        <v>43038</v>
      </c>
      <c r="E15" s="8">
        <f ca="1"/>
        <v>43039</v>
      </c>
      <c r="F15" s="9">
        <f ca="1"/>
        <v>43040</v>
      </c>
      <c r="G15" s="8">
        <f ca="1"/>
        <v>43041</v>
      </c>
      <c r="H15" s="9">
        <f ca="1"/>
        <v>43042</v>
      </c>
      <c r="I15" s="8">
        <f ca="1"/>
        <v>43043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44/Day 302</v>
      </c>
      <c r="D16" s="12" t="str">
        <f ca="1">IF(WEEKDAY(CalendarDay)=WeekStartValue,CONCATENATE("Week ",WEEKNUM(CalendarDay),"/Day ",CalendarDay-DATE(YEAR(CalendarDay),1,0)),CONCATENATE("Day ",CalendarDay-DATE(YEAR(CalendarDay),1,0)))</f>
        <v>Day 303</v>
      </c>
      <c r="E16" s="11" t="str">
        <f ca="1">IF(WEEKDAY(CalendarDay)=WeekStartValue,CONCATENATE("Week ",WEEKNUM(CalendarDay),"/Day ",CalendarDay-DATE(YEAR(CalendarDay),1,0)),CONCATENATE("Day ",CalendarDay-DATE(YEAR(CalendarDay),1,0)))</f>
        <v>Day 304</v>
      </c>
      <c r="F16" s="12" t="str">
        <f ca="1">IF(WEEKDAY(CalendarDay)=WeekStartValue,CONCATENATE("Week ",WEEKNUM(CalendarDay),"/Day ",CalendarDay-DATE(YEAR(CalendarDay),1,0)),CONCATENATE("Day ",CalendarDay-DATE(YEAR(CalendarDay),1,0)))</f>
        <v>Day 305</v>
      </c>
      <c r="G16" s="11" t="str">
        <f ca="1">IF(WEEKDAY(CalendarDay)=WeekStartValue,CONCATENATE("Week ",WEEKNUM(CalendarDay),"/Day ",CalendarDay-DATE(YEAR(CalendarDay),1,0)),CONCATENATE("Day ",CalendarDay-DATE(YEAR(CalendarDay),1,0)))</f>
        <v>Day 306</v>
      </c>
      <c r="H16" s="12" t="str">
        <f ca="1">IF(WEEKDAY(CalendarDay)=WeekStartValue,CONCATENATE("Week ",WEEKNUM(CalendarDay),"/Day ",CalendarDay-DATE(YEAR(CalendarDay),1,0)),CONCATENATE("Day ",CalendarDay-DATE(YEAR(CalendarDay),1,0)))</f>
        <v>Day 307</v>
      </c>
      <c r="I16" s="11" t="str">
        <f ca="1">IF(WEEKDAY(CalendarDay)=WeekStartValue,CONCATENATE("Week ",WEEKNUM(CalendarDay),"/Day ",CalendarDay-DATE(YEAR(CalendarDay),1,0)),CONCATENATE("Day ",CalendarDay-DATE(YEAR(CalendarDay),1,0)))</f>
        <v>Day 308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DaysAndWeeks+DATE(CalendarYear,10,1)-WEEKDAY(DATE(CalendarYear,10,1),(WeekStart="MON")+1)+36</f>
        <v>43044</v>
      </c>
      <c r="D19" s="9">
        <f ca="1"/>
        <v>43045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45/Day 309</v>
      </c>
      <c r="D20" s="2" t="str">
        <f ca="1">IF(WEEKDAY(CalendarDay)=WeekStartValue,CONCATENATE("Week ",WEEKNUM(CalendarDay),"/Day ",CalendarDay-DATE(YEAR(CalendarDay),1,0)),CONCATENATE("Day ",CalendarDay-DATE(YEAR(CalendarDay),1,0)))</f>
        <v>Day 310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11" priority="2">
      <formula>AND(DAY(C15)&gt;=1,DAY(C15)&lt;=15)</formula>
    </cfRule>
  </conditionalFormatting>
  <conditionalFormatting sqref="C3:H3">
    <cfRule type="expression" dxfId="10" priority="1">
      <formula>DAY(C3)&gt;8</formula>
    </cfRule>
  </conditionalFormatting>
  <conditionalFormatting sqref="C4:I4">
    <cfRule type="expression" dxfId="9" priority="3">
      <formula>DAY(C3)&gt;8</formula>
    </cfRule>
  </conditionalFormatting>
  <conditionalFormatting sqref="C16:I16 C20:D20 C17:D17 F17:I17">
    <cfRule type="expression" dxfId="8" priority="4">
      <formula>AND(DAY(C15)&gt;=1,DAY(C15)&lt;=15)</formula>
    </cfRule>
  </conditionalFormatting>
  <dataValidations count="9">
    <dataValidation allowBlank="1" showInputMessage="1" showErrorMessage="1" prompt="October month calendar" sqref="A1" xr:uid="{00000000-0002-0000-09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900-000001000000}"/>
    <dataValidation allowBlank="1" showInputMessage="1" showErrorMessage="1" prompt="Year in this cell is automatically updated based on year entered in January worksheet" sqref="B2" xr:uid="{00000000-0002-0000-09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900-000003000000}"/>
    <dataValidation allowBlank="1" showInputMessage="1" showErrorMessage="1" prompt="Enter daily notes based on the calendar day in below cells in this and rows 5, 8, 11, 14 and 17, columns C to I" sqref="C2" xr:uid="{00000000-0002-0000-09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900-000005000000}"/>
    <dataValidation allowBlank="1" showInputMessage="1" showErrorMessage="1" prompt="Week and/or day count in this and rows 7, 10, 13, 16 &amp; 20, are automatically updated" sqref="C4" xr:uid="{00000000-0002-0000-0900-000006000000}"/>
    <dataValidation allowBlank="1" showInputMessage="1" showErrorMessage="1" prompt="Enter Notes in cell below" sqref="E17" xr:uid="{00000000-0002-0000-0900-000007000000}"/>
    <dataValidation allowBlank="1" showInputMessage="1" showErrorMessage="1" prompt="Enter Notes in this cell" sqref="E18:I20" xr:uid="{00000000-0002-0000-09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2" tint="-0.749992370372631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12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DaysAndWeeks+DATE(CalendarYear,11,1)-WEEKDAY(DATE(CalendarYear,11,1),(WeekStart="MON")+1)+1</f>
        <v>43037</v>
      </c>
      <c r="D3" s="9">
        <f ca="1"/>
        <v>43038</v>
      </c>
      <c r="E3" s="8">
        <f ca="1"/>
        <v>43039</v>
      </c>
      <c r="F3" s="9">
        <f ca="1"/>
        <v>43040</v>
      </c>
      <c r="G3" s="8">
        <f ca="1"/>
        <v>43041</v>
      </c>
      <c r="H3" s="9">
        <f ca="1"/>
        <v>43042</v>
      </c>
      <c r="I3" s="8">
        <f ca="1"/>
        <v>43043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302</v>
      </c>
      <c r="D4" s="12" t="str">
        <f t="shared" ca="1" si="1"/>
        <v>Day 303</v>
      </c>
      <c r="E4" s="11" t="str">
        <f t="shared" ca="1" si="1"/>
        <v>Day 304</v>
      </c>
      <c r="F4" s="12" t="str">
        <f t="shared" ca="1" si="1"/>
        <v>Week 44/Day 305</v>
      </c>
      <c r="G4" s="11" t="str">
        <f t="shared" ca="1" si="1"/>
        <v>Day 306</v>
      </c>
      <c r="H4" s="12" t="str">
        <f t="shared" ca="1" si="1"/>
        <v>Day 307</v>
      </c>
      <c r="I4" s="11" t="str">
        <f t="shared" ca="1" si="1"/>
        <v>Day 308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DaysAndWeeks+DATE(CalendarYear,11,1)-WEEKDAY(DATE(CalendarYear,11,1),(WeekStart="MON")+1)+8</f>
        <v>43044</v>
      </c>
      <c r="D6" s="9">
        <f ca="1"/>
        <v>43045</v>
      </c>
      <c r="E6" s="8">
        <f ca="1"/>
        <v>43046</v>
      </c>
      <c r="F6" s="9">
        <f ca="1"/>
        <v>43047</v>
      </c>
      <c r="G6" s="8">
        <f ca="1"/>
        <v>43048</v>
      </c>
      <c r="H6" s="9">
        <f ca="1"/>
        <v>43049</v>
      </c>
      <c r="I6" s="8">
        <f ca="1"/>
        <v>43050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45/Day 309</v>
      </c>
      <c r="D7" s="12" t="str">
        <f ca="1">IF(WEEKDAY(CalendarDay)=WeekStartValue,CONCATENATE("Week ",WEEKNUM(CalendarDay),"/Day ",CalendarDay-DATE(YEAR(CalendarDay),1,0)),CONCATENATE("Day ",CalendarDay-DATE(YEAR(CalendarDay),1,0)))</f>
        <v>Day 310</v>
      </c>
      <c r="E7" s="11" t="str">
        <f ca="1">IF(WEEKDAY(CalendarDay)=WeekStartValue,CONCATENATE("Week ",WEEKNUM(CalendarDay),"/Day ",CalendarDay-DATE(YEAR(CalendarDay),1,0)),CONCATENATE("Day ",CalendarDay-DATE(YEAR(CalendarDay),1,0)))</f>
        <v>Day 311</v>
      </c>
      <c r="F7" s="12" t="str">
        <f ca="1">IF(WEEKDAY(CalendarDay)=WeekStartValue,CONCATENATE("Week ",WEEKNUM(CalendarDay),"/Day ",CalendarDay-DATE(YEAR(CalendarDay),1,0)),CONCATENATE("Day ",CalendarDay-DATE(YEAR(CalendarDay),1,0)))</f>
        <v>Day 312</v>
      </c>
      <c r="G7" s="11" t="str">
        <f ca="1">IF(WEEKDAY(CalendarDay)=WeekStartValue,CONCATENATE("Week ",WEEKNUM(CalendarDay),"/Day ",CalendarDay-DATE(YEAR(CalendarDay),1,0)),CONCATENATE("Day ",CalendarDay-DATE(YEAR(CalendarDay),1,0)))</f>
        <v>Day 313</v>
      </c>
      <c r="H7" s="12" t="str">
        <f ca="1">IF(WEEKDAY(CalendarDay)=WeekStartValue,CONCATENATE("Week ",WEEKNUM(CalendarDay),"/Day ",CalendarDay-DATE(YEAR(CalendarDay),1,0)),CONCATENATE("Day ",CalendarDay-DATE(YEAR(CalendarDay),1,0)))</f>
        <v>Day 314</v>
      </c>
      <c r="I7" s="11" t="str">
        <f ca="1">IF(WEEKDAY(CalendarDay)=WeekStartValue,CONCATENATE("Week ",WEEKNUM(CalendarDay),"/Day ",CalendarDay-DATE(YEAR(CalendarDay),1,0)),CONCATENATE("Day ",CalendarDay-DATE(YEAR(CalendarDay),1,0)))</f>
        <v>Day 315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DaysAndWeeks+DATE(CalendarYear,11,1)-WEEKDAY(DATE(CalendarYear,11,1),(WeekStart="MON")+1)+15</f>
        <v>43051</v>
      </c>
      <c r="D9" s="9">
        <f ca="1"/>
        <v>43052</v>
      </c>
      <c r="E9" s="8">
        <f ca="1"/>
        <v>43053</v>
      </c>
      <c r="F9" s="9">
        <f ca="1"/>
        <v>43054</v>
      </c>
      <c r="G9" s="8">
        <f ca="1"/>
        <v>43055</v>
      </c>
      <c r="H9" s="9">
        <f ca="1"/>
        <v>43056</v>
      </c>
      <c r="I9" s="8">
        <f ca="1"/>
        <v>43057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46/Day 316</v>
      </c>
      <c r="D10" s="12" t="str">
        <f ca="1">IF(WEEKDAY(CalendarDay)=WeekStartValue,CONCATENATE("Week ",WEEKNUM(CalendarDay),"/Day ",CalendarDay-DATE(YEAR(CalendarDay),1,0)),CONCATENATE("Day ",CalendarDay-DATE(YEAR(CalendarDay),1,0)))</f>
        <v>Day 317</v>
      </c>
      <c r="E10" s="11" t="str">
        <f ca="1">IF(WEEKDAY(CalendarDay)=WeekStartValue,CONCATENATE("Week ",WEEKNUM(CalendarDay),"/Day ",CalendarDay-DATE(YEAR(CalendarDay),1,0)),CONCATENATE("Day ",CalendarDay-DATE(YEAR(CalendarDay),1,0)))</f>
        <v>Day 318</v>
      </c>
      <c r="F10" s="12" t="str">
        <f ca="1">IF(WEEKDAY(CalendarDay)=WeekStartValue,CONCATENATE("Week ",WEEKNUM(CalendarDay),"/Day ",CalendarDay-DATE(YEAR(CalendarDay),1,0)),CONCATENATE("Day ",CalendarDay-DATE(YEAR(CalendarDay),1,0)))</f>
        <v>Day 319</v>
      </c>
      <c r="G10" s="11" t="str">
        <f ca="1">IF(WEEKDAY(CalendarDay)=WeekStartValue,CONCATENATE("Week ",WEEKNUM(CalendarDay),"/Day ",CalendarDay-DATE(YEAR(CalendarDay),1,0)),CONCATENATE("Day ",CalendarDay-DATE(YEAR(CalendarDay),1,0)))</f>
        <v>Day 320</v>
      </c>
      <c r="H10" s="12" t="str">
        <f ca="1">IF(WEEKDAY(CalendarDay)=WeekStartValue,CONCATENATE("Week ",WEEKNUM(CalendarDay),"/Day ",CalendarDay-DATE(YEAR(CalendarDay),1,0)),CONCATENATE("Day ",CalendarDay-DATE(YEAR(CalendarDay),1,0)))</f>
        <v>Day 321</v>
      </c>
      <c r="I10" s="11" t="str">
        <f ca="1">IF(WEEKDAY(CalendarDay)=WeekStartValue,CONCATENATE("Week ",WEEKNUM(CalendarDay),"/Day ",CalendarDay-DATE(YEAR(CalendarDay),1,0)),CONCATENATE("Day ",CalendarDay-DATE(YEAR(CalendarDay),1,0)))</f>
        <v>Day 322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DaysAndWeeks+DATE(CalendarYear,11,1)-WEEKDAY(DATE(CalendarYear,11,1),(WeekStart="MON")+1)+22</f>
        <v>43058</v>
      </c>
      <c r="D12" s="9">
        <f ca="1"/>
        <v>43059</v>
      </c>
      <c r="E12" s="8">
        <f ca="1"/>
        <v>43060</v>
      </c>
      <c r="F12" s="9">
        <f ca="1"/>
        <v>43061</v>
      </c>
      <c r="G12" s="8">
        <f ca="1"/>
        <v>43062</v>
      </c>
      <c r="H12" s="9">
        <f ca="1"/>
        <v>43063</v>
      </c>
      <c r="I12" s="8">
        <f ca="1"/>
        <v>43064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47/Day 323</v>
      </c>
      <c r="D13" s="12" t="str">
        <f ca="1">IF(WEEKDAY(CalendarDay)=WeekStartValue,CONCATENATE("Week ",WEEKNUM(CalendarDay),"/Day ",CalendarDay-DATE(YEAR(CalendarDay),1,0)),CONCATENATE("Day ",CalendarDay-DATE(YEAR(CalendarDay),1,0)))</f>
        <v>Day 324</v>
      </c>
      <c r="E13" s="11" t="str">
        <f ca="1">IF(WEEKDAY(CalendarDay)=WeekStartValue,CONCATENATE("Week ",WEEKNUM(CalendarDay),"/Day ",CalendarDay-DATE(YEAR(CalendarDay),1,0)),CONCATENATE("Day ",CalendarDay-DATE(YEAR(CalendarDay),1,0)))</f>
        <v>Day 325</v>
      </c>
      <c r="F13" s="12" t="str">
        <f ca="1">IF(WEEKDAY(CalendarDay)=WeekStartValue,CONCATENATE("Week ",WEEKNUM(CalendarDay),"/Day ",CalendarDay-DATE(YEAR(CalendarDay),1,0)),CONCATENATE("Day ",CalendarDay-DATE(YEAR(CalendarDay),1,0)))</f>
        <v>Day 326</v>
      </c>
      <c r="G13" s="11" t="str">
        <f ca="1">IF(WEEKDAY(CalendarDay)=WeekStartValue,CONCATENATE("Week ",WEEKNUM(CalendarDay),"/Day ",CalendarDay-DATE(YEAR(CalendarDay),1,0)),CONCATENATE("Day ",CalendarDay-DATE(YEAR(CalendarDay),1,0)))</f>
        <v>Day 327</v>
      </c>
      <c r="H13" s="12" t="str">
        <f ca="1">IF(WEEKDAY(CalendarDay)=WeekStartValue,CONCATENATE("Week ",WEEKNUM(CalendarDay),"/Day ",CalendarDay-DATE(YEAR(CalendarDay),1,0)),CONCATENATE("Day ",CalendarDay-DATE(YEAR(CalendarDay),1,0)))</f>
        <v>Day 328</v>
      </c>
      <c r="I13" s="11" t="str">
        <f ca="1">IF(WEEKDAY(CalendarDay)=WeekStartValue,CONCATENATE("Week ",WEEKNUM(CalendarDay),"/Day ",CalendarDay-DATE(YEAR(CalendarDay),1,0)),CONCATENATE("Day ",CalendarDay-DATE(YEAR(CalendarDay),1,0)))</f>
        <v>Day 329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DaysAndWeeks+DATE(CalendarYear,11,1)-WEEKDAY(DATE(CalendarYear,11,1),(WeekStart="MON")+1)+29</f>
        <v>43065</v>
      </c>
      <c r="D15" s="9">
        <f ca="1"/>
        <v>43066</v>
      </c>
      <c r="E15" s="8">
        <f ca="1"/>
        <v>43067</v>
      </c>
      <c r="F15" s="9">
        <f ca="1"/>
        <v>43068</v>
      </c>
      <c r="G15" s="8">
        <f ca="1"/>
        <v>43069</v>
      </c>
      <c r="H15" s="9">
        <f ca="1"/>
        <v>43070</v>
      </c>
      <c r="I15" s="8">
        <f ca="1"/>
        <v>43071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48/Day 330</v>
      </c>
      <c r="D16" s="12" t="str">
        <f ca="1">IF(WEEKDAY(CalendarDay)=WeekStartValue,CONCATENATE("Week ",WEEKNUM(CalendarDay),"/Day ",CalendarDay-DATE(YEAR(CalendarDay),1,0)),CONCATENATE("Day ",CalendarDay-DATE(YEAR(CalendarDay),1,0)))</f>
        <v>Day 331</v>
      </c>
      <c r="E16" s="11" t="str">
        <f ca="1">IF(WEEKDAY(CalendarDay)=WeekStartValue,CONCATENATE("Week ",WEEKNUM(CalendarDay),"/Day ",CalendarDay-DATE(YEAR(CalendarDay),1,0)),CONCATENATE("Day ",CalendarDay-DATE(YEAR(CalendarDay),1,0)))</f>
        <v>Day 332</v>
      </c>
      <c r="F16" s="12" t="str">
        <f ca="1">IF(WEEKDAY(CalendarDay)=WeekStartValue,CONCATENATE("Week ",WEEKNUM(CalendarDay),"/Day ",CalendarDay-DATE(YEAR(CalendarDay),1,0)),CONCATENATE("Day ",CalendarDay-DATE(YEAR(CalendarDay),1,0)))</f>
        <v>Day 333</v>
      </c>
      <c r="G16" s="11" t="str">
        <f ca="1">IF(WEEKDAY(CalendarDay)=WeekStartValue,CONCATENATE("Week ",WEEKNUM(CalendarDay),"/Day ",CalendarDay-DATE(YEAR(CalendarDay),1,0)),CONCATENATE("Day ",CalendarDay-DATE(YEAR(CalendarDay),1,0)))</f>
        <v>Day 334</v>
      </c>
      <c r="H16" s="12" t="str">
        <f ca="1">IF(WEEKDAY(CalendarDay)=WeekStartValue,CONCATENATE("Week ",WEEKNUM(CalendarDay),"/Day ",CalendarDay-DATE(YEAR(CalendarDay),1,0)),CONCATENATE("Day ",CalendarDay-DATE(YEAR(CalendarDay),1,0)))</f>
        <v>Day 335</v>
      </c>
      <c r="I16" s="11" t="str">
        <f ca="1">IF(WEEKDAY(CalendarDay)=WeekStartValue,CONCATENATE("Week ",WEEKNUM(CalendarDay),"/Day ",CalendarDay-DATE(YEAR(CalendarDay),1,0)),CONCATENATE("Day ",CalendarDay-DATE(YEAR(CalendarDay),1,0)))</f>
        <v>Day 336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DaysAndWeeks+DATE(CalendarYear,11,1)-WEEKDAY(DATE(CalendarYear,11,1),(WeekStart="MON")+1)+36</f>
        <v>43072</v>
      </c>
      <c r="D19" s="9">
        <f ca="1"/>
        <v>43073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49/Day 337</v>
      </c>
      <c r="D20" s="2" t="str">
        <f ca="1">IF(WEEKDAY(CalendarDay)=WeekStartValue,CONCATENATE("Week ",WEEKNUM(CalendarDay),"/Day ",CalendarDay-DATE(YEAR(CalendarDay),1,0)),CONCATENATE("Day ",CalendarDay-DATE(YEAR(CalendarDay),1,0)))</f>
        <v>Day 338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7" priority="2">
      <formula>AND(DAY(C15)&gt;=1,DAY(C15)&lt;=15)</formula>
    </cfRule>
  </conditionalFormatting>
  <conditionalFormatting sqref="C3:H3">
    <cfRule type="expression" dxfId="6" priority="1">
      <formula>DAY(C3)&gt;8</formula>
    </cfRule>
  </conditionalFormatting>
  <conditionalFormatting sqref="C4:I4">
    <cfRule type="expression" dxfId="5" priority="3">
      <formula>DAY(C3)&gt;8</formula>
    </cfRule>
  </conditionalFormatting>
  <conditionalFormatting sqref="C16:I16 C20:D20 C17:D17 F17:I17">
    <cfRule type="expression" dxfId="4" priority="4">
      <formula>AND(DAY(C15)&gt;=1,DAY(C15)&lt;=15)</formula>
    </cfRule>
  </conditionalFormatting>
  <dataValidations count="9">
    <dataValidation allowBlank="1" showInputMessage="1" showErrorMessage="1" prompt="November month calendar" sqref="A1" xr:uid="{00000000-0002-0000-0A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A00-000001000000}"/>
    <dataValidation allowBlank="1" showInputMessage="1" showErrorMessage="1" prompt="Year in this cell is automatically updated based on year entered in January worksheet" sqref="B2" xr:uid="{00000000-0002-0000-0A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A00-000003000000}"/>
    <dataValidation allowBlank="1" showInputMessage="1" showErrorMessage="1" prompt="Enter daily notes based on the calendar day in below cells in this and rows 5, 8, 11, 14 and 17, columns C to I" sqref="C2" xr:uid="{00000000-0002-0000-0A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A00-000005000000}"/>
    <dataValidation allowBlank="1" showInputMessage="1" showErrorMessage="1" prompt="Week and/or day count in this and rows 7, 10, 13, 16 &amp; 20, are automatically updated" sqref="C4" xr:uid="{00000000-0002-0000-0A00-000006000000}"/>
    <dataValidation allowBlank="1" showInputMessage="1" showErrorMessage="1" prompt="Enter Notes in cell below" sqref="E17" xr:uid="{00000000-0002-0000-0A00-000007000000}"/>
    <dataValidation allowBlank="1" showInputMessage="1" showErrorMessage="1" prompt="Enter Notes in this cell" sqref="E18:I20" xr:uid="{00000000-0002-0000-0A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2" tint="-0.89999084444715716"/>
    <pageSetUpPr fitToPage="1"/>
  </sheetPr>
  <dimension ref="A1:I20"/>
  <sheetViews>
    <sheetView showGridLines="0" zoomScaleNormal="100" workbookViewId="0"/>
  </sheetViews>
  <sheetFormatPr defaultColWidth="8.75" defaultRowHeight="15" customHeight="1" x14ac:dyDescent="0.3"/>
  <cols>
    <col min="1" max="1" width="2.58203125" style="10" customWidth="1"/>
    <col min="2" max="2" width="15" style="10" customWidth="1"/>
    <col min="3" max="3" width="18.25" style="10" customWidth="1"/>
    <col min="4" max="9" width="17.58203125" style="10" customWidth="1"/>
    <col min="10" max="10" width="2.58203125" customWidth="1"/>
    <col min="11" max="11" width="15.58203125" customWidth="1"/>
    <col min="12" max="12" width="13.75" customWidth="1"/>
  </cols>
  <sheetData>
    <row r="1" spans="2:9" ht="41.15" customHeight="1" x14ac:dyDescent="0.9">
      <c r="B1" s="3" t="s">
        <v>13</v>
      </c>
      <c r="C1" s="1" t="str">
        <f>UPPER(TEXT(WeekStart,"ddd"))</f>
        <v>SUN</v>
      </c>
      <c r="D1" s="1" t="str">
        <f t="shared" ref="D1:I1" ca="1" si="0">UPPER(TEXT(D3,"aaa"))</f>
        <v>MON</v>
      </c>
      <c r="E1" s="1" t="str">
        <f t="shared" ca="1" si="0"/>
        <v>TUE</v>
      </c>
      <c r="F1" s="1" t="str">
        <f t="shared" ca="1" si="0"/>
        <v>WED</v>
      </c>
      <c r="G1" s="1" t="str">
        <f t="shared" ca="1" si="0"/>
        <v>THU</v>
      </c>
      <c r="H1" s="1" t="str">
        <f t="shared" ca="1" si="0"/>
        <v>FRI</v>
      </c>
      <c r="I1" s="1" t="str">
        <f t="shared" ca="1" si="0"/>
        <v>SAT</v>
      </c>
    </row>
    <row r="2" spans="2:9" ht="56.25" customHeight="1" x14ac:dyDescent="0.3">
      <c r="B2" s="5">
        <f ca="1">CalendarYear</f>
        <v>2017</v>
      </c>
      <c r="C2" s="7"/>
      <c r="D2"/>
      <c r="E2" s="7"/>
      <c r="F2"/>
      <c r="G2" s="7"/>
      <c r="H2"/>
      <c r="I2" s="7"/>
    </row>
    <row r="3" spans="2:9" ht="16.5" customHeight="1" x14ac:dyDescent="0.35">
      <c r="C3" s="8">
        <f t="array" aca="1" ref="C3:I3" ca="1">DaysAndWeeks+DATE(CalendarYear,12,1)-WEEKDAY(DATE(CalendarYear,12,1),(WeekStart="MON")+1)+1</f>
        <v>43065</v>
      </c>
      <c r="D3" s="9">
        <f ca="1"/>
        <v>43066</v>
      </c>
      <c r="E3" s="8">
        <f ca="1"/>
        <v>43067</v>
      </c>
      <c r="F3" s="9">
        <f ca="1"/>
        <v>43068</v>
      </c>
      <c r="G3" s="8">
        <f ca="1"/>
        <v>43069</v>
      </c>
      <c r="H3" s="9">
        <f ca="1"/>
        <v>43070</v>
      </c>
      <c r="I3" s="8">
        <f ca="1"/>
        <v>43071</v>
      </c>
    </row>
    <row r="4" spans="2:9" ht="15" customHeight="1" x14ac:dyDescent="0.3">
      <c r="C4" s="11" t="str">
        <f t="shared" ref="C4:I4" ca="1" si="1">IF(DAY(CalendarDay)=1,CONCATENATE("Week ",WEEKNUM(CalendarDay),"/Day ",CalendarDay-DATE(YEAR(CalendarDay),1,0)),CONCATENATE("Day ",CalendarDay-DATE(YEAR(CalendarDay),1,0)))</f>
        <v>Day 330</v>
      </c>
      <c r="D4" s="12" t="str">
        <f t="shared" ca="1" si="1"/>
        <v>Day 331</v>
      </c>
      <c r="E4" s="11" t="str">
        <f t="shared" ca="1" si="1"/>
        <v>Day 332</v>
      </c>
      <c r="F4" s="12" t="str">
        <f t="shared" ca="1" si="1"/>
        <v>Day 333</v>
      </c>
      <c r="G4" s="11" t="str">
        <f t="shared" ca="1" si="1"/>
        <v>Day 334</v>
      </c>
      <c r="H4" s="12" t="str">
        <f t="shared" ca="1" si="1"/>
        <v>Week 48/Day 335</v>
      </c>
      <c r="I4" s="11" t="str">
        <f t="shared" ca="1" si="1"/>
        <v>Day 336</v>
      </c>
    </row>
    <row r="5" spans="2:9" ht="56.25" customHeight="1" x14ac:dyDescent="0.3">
      <c r="C5" s="7"/>
      <c r="D5"/>
      <c r="E5" s="7"/>
      <c r="F5"/>
      <c r="G5" s="7"/>
      <c r="H5"/>
      <c r="I5" s="7"/>
    </row>
    <row r="6" spans="2:9" ht="16.5" customHeight="1" x14ac:dyDescent="0.35">
      <c r="C6" s="8">
        <f t="array" aca="1" ref="C6:I6" ca="1">DaysAndWeeks+DATE(CalendarYear,12,1)-WEEKDAY(DATE(CalendarYear,12,1),(WeekStart="MON")+1)+8</f>
        <v>43072</v>
      </c>
      <c r="D6" s="9">
        <f ca="1"/>
        <v>43073</v>
      </c>
      <c r="E6" s="8">
        <f ca="1"/>
        <v>43074</v>
      </c>
      <c r="F6" s="9">
        <f ca="1"/>
        <v>43075</v>
      </c>
      <c r="G6" s="8">
        <f ca="1"/>
        <v>43076</v>
      </c>
      <c r="H6" s="9">
        <f ca="1"/>
        <v>43077</v>
      </c>
      <c r="I6" s="8">
        <f ca="1"/>
        <v>43078</v>
      </c>
    </row>
    <row r="7" spans="2:9" ht="15" customHeight="1" x14ac:dyDescent="0.3">
      <c r="C7" s="11" t="str">
        <f ca="1">IF(WEEKDAY(CalendarDay)=WeekStartValue,CONCATENATE("Week ",WEEKNUM(CalendarDay),"/Day ",CalendarDay-DATE(YEAR(CalendarDay),1,0)),CONCATENATE("Day ",CalendarDay-DATE(YEAR(CalendarDay),1,0)))</f>
        <v>Week 49/Day 337</v>
      </c>
      <c r="D7" s="12" t="str">
        <f ca="1">IF(WEEKDAY(CalendarDay)=WeekStartValue,CONCATENATE("Week ",WEEKNUM(CalendarDay),"/Day ",CalendarDay-DATE(YEAR(CalendarDay),1,0)),CONCATENATE("Day ",CalendarDay-DATE(YEAR(CalendarDay),1,0)))</f>
        <v>Day 338</v>
      </c>
      <c r="E7" s="11" t="str">
        <f ca="1">IF(WEEKDAY(CalendarDay)=WeekStartValue,CONCATENATE("Week ",WEEKNUM(CalendarDay),"/Day ",CalendarDay-DATE(YEAR(CalendarDay),1,0)),CONCATENATE("Day ",CalendarDay-DATE(YEAR(CalendarDay),1,0)))</f>
        <v>Day 339</v>
      </c>
      <c r="F7" s="12" t="str">
        <f ca="1">IF(WEEKDAY(CalendarDay)=WeekStartValue,CONCATENATE("Week ",WEEKNUM(CalendarDay),"/Day ",CalendarDay-DATE(YEAR(CalendarDay),1,0)),CONCATENATE("Day ",CalendarDay-DATE(YEAR(CalendarDay),1,0)))</f>
        <v>Day 340</v>
      </c>
      <c r="G7" s="11" t="str">
        <f ca="1">IF(WEEKDAY(CalendarDay)=WeekStartValue,CONCATENATE("Week ",WEEKNUM(CalendarDay),"/Day ",CalendarDay-DATE(YEAR(CalendarDay),1,0)),CONCATENATE("Day ",CalendarDay-DATE(YEAR(CalendarDay),1,0)))</f>
        <v>Day 341</v>
      </c>
      <c r="H7" s="12" t="str">
        <f ca="1">IF(WEEKDAY(CalendarDay)=WeekStartValue,CONCATENATE("Week ",WEEKNUM(CalendarDay),"/Day ",CalendarDay-DATE(YEAR(CalendarDay),1,0)),CONCATENATE("Day ",CalendarDay-DATE(YEAR(CalendarDay),1,0)))</f>
        <v>Day 342</v>
      </c>
      <c r="I7" s="11" t="str">
        <f ca="1">IF(WEEKDAY(CalendarDay)=WeekStartValue,CONCATENATE("Week ",WEEKNUM(CalendarDay),"/Day ",CalendarDay-DATE(YEAR(CalendarDay),1,0)),CONCATENATE("Day ",CalendarDay-DATE(YEAR(CalendarDay),1,0)))</f>
        <v>Day 343</v>
      </c>
    </row>
    <row r="8" spans="2:9" ht="56.25" customHeight="1" x14ac:dyDescent="0.3">
      <c r="C8" s="7"/>
      <c r="D8"/>
      <c r="E8" s="7"/>
      <c r="F8"/>
      <c r="G8" s="7"/>
      <c r="H8"/>
      <c r="I8" s="7"/>
    </row>
    <row r="9" spans="2:9" ht="16.5" customHeight="1" x14ac:dyDescent="0.35">
      <c r="C9" s="8">
        <f t="array" aca="1" ref="C9:I9" ca="1">DaysAndWeeks+DATE(CalendarYear,12,1)-WEEKDAY(DATE(CalendarYear,12,1),(WeekStart="MON")+1)+15</f>
        <v>43079</v>
      </c>
      <c r="D9" s="9">
        <f ca="1"/>
        <v>43080</v>
      </c>
      <c r="E9" s="8">
        <f ca="1"/>
        <v>43081</v>
      </c>
      <c r="F9" s="9">
        <f ca="1"/>
        <v>43082</v>
      </c>
      <c r="G9" s="8">
        <f ca="1"/>
        <v>43083</v>
      </c>
      <c r="H9" s="9">
        <f ca="1"/>
        <v>43084</v>
      </c>
      <c r="I9" s="8">
        <f ca="1"/>
        <v>43085</v>
      </c>
    </row>
    <row r="10" spans="2:9" ht="15" customHeight="1" x14ac:dyDescent="0.3">
      <c r="C10" s="11" t="str">
        <f ca="1">IF(WEEKDAY(CalendarDay)=WeekStartValue,CONCATENATE("Week ",WEEKNUM(CalendarDay),"/Day ",CalendarDay-DATE(YEAR(CalendarDay),1,0)),CONCATENATE("Day ",CalendarDay-DATE(YEAR(CalendarDay),1,0)))</f>
        <v>Week 50/Day 344</v>
      </c>
      <c r="D10" s="12" t="str">
        <f ca="1">IF(WEEKDAY(CalendarDay)=WeekStartValue,CONCATENATE("Week ",WEEKNUM(CalendarDay),"/Day ",CalendarDay-DATE(YEAR(CalendarDay),1,0)),CONCATENATE("Day ",CalendarDay-DATE(YEAR(CalendarDay),1,0)))</f>
        <v>Day 345</v>
      </c>
      <c r="E10" s="11" t="str">
        <f ca="1">IF(WEEKDAY(CalendarDay)=WeekStartValue,CONCATENATE("Week ",WEEKNUM(CalendarDay),"/Day ",CalendarDay-DATE(YEAR(CalendarDay),1,0)),CONCATENATE("Day ",CalendarDay-DATE(YEAR(CalendarDay),1,0)))</f>
        <v>Day 346</v>
      </c>
      <c r="F10" s="12" t="str">
        <f ca="1">IF(WEEKDAY(CalendarDay)=WeekStartValue,CONCATENATE("Week ",WEEKNUM(CalendarDay),"/Day ",CalendarDay-DATE(YEAR(CalendarDay),1,0)),CONCATENATE("Day ",CalendarDay-DATE(YEAR(CalendarDay),1,0)))</f>
        <v>Day 347</v>
      </c>
      <c r="G10" s="11" t="str">
        <f ca="1">IF(WEEKDAY(CalendarDay)=WeekStartValue,CONCATENATE("Week ",WEEKNUM(CalendarDay),"/Day ",CalendarDay-DATE(YEAR(CalendarDay),1,0)),CONCATENATE("Day ",CalendarDay-DATE(YEAR(CalendarDay),1,0)))</f>
        <v>Day 348</v>
      </c>
      <c r="H10" s="12" t="str">
        <f ca="1">IF(WEEKDAY(CalendarDay)=WeekStartValue,CONCATENATE("Week ",WEEKNUM(CalendarDay),"/Day ",CalendarDay-DATE(YEAR(CalendarDay),1,0)),CONCATENATE("Day ",CalendarDay-DATE(YEAR(CalendarDay),1,0)))</f>
        <v>Day 349</v>
      </c>
      <c r="I10" s="11" t="str">
        <f ca="1">IF(WEEKDAY(CalendarDay)=WeekStartValue,CONCATENATE("Week ",WEEKNUM(CalendarDay),"/Day ",CalendarDay-DATE(YEAR(CalendarDay),1,0)),CONCATENATE("Day ",CalendarDay-DATE(YEAR(CalendarDay),1,0)))</f>
        <v>Day 350</v>
      </c>
    </row>
    <row r="11" spans="2:9" ht="56.25" customHeight="1" x14ac:dyDescent="0.3">
      <c r="C11" s="7"/>
      <c r="D11"/>
      <c r="E11" s="7"/>
      <c r="F11"/>
      <c r="G11" s="7"/>
      <c r="H11"/>
      <c r="I11" s="7"/>
    </row>
    <row r="12" spans="2:9" ht="16.5" customHeight="1" x14ac:dyDescent="0.35">
      <c r="C12" s="8">
        <f t="array" aca="1" ref="C12:I12" ca="1">DaysAndWeeks+DATE(CalendarYear,12,1)-WEEKDAY(DATE(CalendarYear,12,1),(WeekStart="MON")+1)+22</f>
        <v>43086</v>
      </c>
      <c r="D12" s="9">
        <f ca="1"/>
        <v>43087</v>
      </c>
      <c r="E12" s="8">
        <f ca="1"/>
        <v>43088</v>
      </c>
      <c r="F12" s="9">
        <f ca="1"/>
        <v>43089</v>
      </c>
      <c r="G12" s="8">
        <f ca="1"/>
        <v>43090</v>
      </c>
      <c r="H12" s="9">
        <f ca="1"/>
        <v>43091</v>
      </c>
      <c r="I12" s="8">
        <f ca="1"/>
        <v>43092</v>
      </c>
    </row>
    <row r="13" spans="2:9" ht="15" customHeight="1" x14ac:dyDescent="0.3">
      <c r="C13" s="11" t="str">
        <f ca="1">IF(WEEKDAY(CalendarDay)=WeekStartValue,CONCATENATE("Week ",WEEKNUM(CalendarDay),"/Day ",CalendarDay-DATE(YEAR(CalendarDay),1,0)),CONCATENATE("Day ",CalendarDay-DATE(YEAR(CalendarDay),1,0)))</f>
        <v>Week 51/Day 351</v>
      </c>
      <c r="D13" s="12" t="str">
        <f ca="1">IF(WEEKDAY(CalendarDay)=WeekStartValue,CONCATENATE("Week ",WEEKNUM(CalendarDay),"/Day ",CalendarDay-DATE(YEAR(CalendarDay),1,0)),CONCATENATE("Day ",CalendarDay-DATE(YEAR(CalendarDay),1,0)))</f>
        <v>Day 352</v>
      </c>
      <c r="E13" s="11" t="str">
        <f ca="1">IF(WEEKDAY(CalendarDay)=WeekStartValue,CONCATENATE("Week ",WEEKNUM(CalendarDay),"/Day ",CalendarDay-DATE(YEAR(CalendarDay),1,0)),CONCATENATE("Day ",CalendarDay-DATE(YEAR(CalendarDay),1,0)))</f>
        <v>Day 353</v>
      </c>
      <c r="F13" s="12" t="str">
        <f ca="1">IF(WEEKDAY(CalendarDay)=WeekStartValue,CONCATENATE("Week ",WEEKNUM(CalendarDay),"/Day ",CalendarDay-DATE(YEAR(CalendarDay),1,0)),CONCATENATE("Day ",CalendarDay-DATE(YEAR(CalendarDay),1,0)))</f>
        <v>Day 354</v>
      </c>
      <c r="G13" s="11" t="str">
        <f ca="1">IF(WEEKDAY(CalendarDay)=WeekStartValue,CONCATENATE("Week ",WEEKNUM(CalendarDay),"/Day ",CalendarDay-DATE(YEAR(CalendarDay),1,0)),CONCATENATE("Day ",CalendarDay-DATE(YEAR(CalendarDay),1,0)))</f>
        <v>Day 355</v>
      </c>
      <c r="H13" s="12" t="str">
        <f ca="1">IF(WEEKDAY(CalendarDay)=WeekStartValue,CONCATENATE("Week ",WEEKNUM(CalendarDay),"/Day ",CalendarDay-DATE(YEAR(CalendarDay),1,0)),CONCATENATE("Day ",CalendarDay-DATE(YEAR(CalendarDay),1,0)))</f>
        <v>Day 356</v>
      </c>
      <c r="I13" s="11" t="str">
        <f ca="1">IF(WEEKDAY(CalendarDay)=WeekStartValue,CONCATENATE("Week ",WEEKNUM(CalendarDay),"/Day ",CalendarDay-DATE(YEAR(CalendarDay),1,0)),CONCATENATE("Day ",CalendarDay-DATE(YEAR(CalendarDay),1,0)))</f>
        <v>Day 357</v>
      </c>
    </row>
    <row r="14" spans="2:9" ht="56.25" customHeight="1" x14ac:dyDescent="0.3">
      <c r="C14" s="7"/>
      <c r="D14"/>
      <c r="E14" s="7"/>
      <c r="F14"/>
      <c r="G14" s="7"/>
      <c r="H14"/>
      <c r="I14" s="7"/>
    </row>
    <row r="15" spans="2:9" ht="16.5" customHeight="1" x14ac:dyDescent="0.35">
      <c r="C15" s="8">
        <f t="array" aca="1" ref="C15:I15" ca="1">DaysAndWeeks+DATE(CalendarYear,12,1)-WEEKDAY(DATE(CalendarYear,12,1),(WeekStart="MON")+1)+29</f>
        <v>43093</v>
      </c>
      <c r="D15" s="9">
        <f ca="1"/>
        <v>43094</v>
      </c>
      <c r="E15" s="8">
        <f ca="1"/>
        <v>43095</v>
      </c>
      <c r="F15" s="9">
        <f ca="1"/>
        <v>43096</v>
      </c>
      <c r="G15" s="8">
        <f ca="1"/>
        <v>43097</v>
      </c>
      <c r="H15" s="9">
        <f ca="1"/>
        <v>43098</v>
      </c>
      <c r="I15" s="8">
        <f ca="1"/>
        <v>43099</v>
      </c>
    </row>
    <row r="16" spans="2:9" ht="15" customHeight="1" x14ac:dyDescent="0.3">
      <c r="C16" s="11" t="str">
        <f ca="1">IF(WEEKDAY(CalendarDay)=WeekStartValue,CONCATENATE("Week ",WEEKNUM(CalendarDay),"/Day ",CalendarDay-DATE(YEAR(CalendarDay),1,0)),CONCATENATE("Day ",CalendarDay-DATE(YEAR(CalendarDay),1,0)))</f>
        <v>Week 52/Day 358</v>
      </c>
      <c r="D16" s="12" t="str">
        <f ca="1">IF(WEEKDAY(CalendarDay)=WeekStartValue,CONCATENATE("Week ",WEEKNUM(CalendarDay),"/Day ",CalendarDay-DATE(YEAR(CalendarDay),1,0)),CONCATENATE("Day ",CalendarDay-DATE(YEAR(CalendarDay),1,0)))</f>
        <v>Day 359</v>
      </c>
      <c r="E16" s="11" t="str">
        <f ca="1">IF(WEEKDAY(CalendarDay)=WeekStartValue,CONCATENATE("Week ",WEEKNUM(CalendarDay),"/Day ",CalendarDay-DATE(YEAR(CalendarDay),1,0)),CONCATENATE("Day ",CalendarDay-DATE(YEAR(CalendarDay),1,0)))</f>
        <v>Day 360</v>
      </c>
      <c r="F16" s="12" t="str">
        <f ca="1">IF(WEEKDAY(CalendarDay)=WeekStartValue,CONCATENATE("Week ",WEEKNUM(CalendarDay),"/Day ",CalendarDay-DATE(YEAR(CalendarDay),1,0)),CONCATENATE("Day ",CalendarDay-DATE(YEAR(CalendarDay),1,0)))</f>
        <v>Day 361</v>
      </c>
      <c r="G16" s="11" t="str">
        <f ca="1">IF(WEEKDAY(CalendarDay)=WeekStartValue,CONCATENATE("Week ",WEEKNUM(CalendarDay),"/Day ",CalendarDay-DATE(YEAR(CalendarDay),1,0)),CONCATENATE("Day ",CalendarDay-DATE(YEAR(CalendarDay),1,0)))</f>
        <v>Day 362</v>
      </c>
      <c r="H16" s="12" t="str">
        <f ca="1">IF(WEEKDAY(CalendarDay)=WeekStartValue,CONCATENATE("Week ",WEEKNUM(CalendarDay),"/Day ",CalendarDay-DATE(YEAR(CalendarDay),1,0)),CONCATENATE("Day ",CalendarDay-DATE(YEAR(CalendarDay),1,0)))</f>
        <v>Day 363</v>
      </c>
      <c r="I16" s="11" t="str">
        <f ca="1">IF(WEEKDAY(CalendarDay)=WeekStartValue,CONCATENATE("Week ",WEEKNUM(CalendarDay),"/Day ",CalendarDay-DATE(YEAR(CalendarDay),1,0)),CONCATENATE("Day ",CalendarDay-DATE(YEAR(CalendarDay),1,0)))</f>
        <v>Day 364</v>
      </c>
    </row>
    <row r="17" spans="3:9" ht="15" customHeight="1" x14ac:dyDescent="0.3">
      <c r="C17" s="14"/>
      <c r="D17"/>
      <c r="E17" s="4" t="s">
        <v>1</v>
      </c>
      <c r="F17"/>
      <c r="G17"/>
      <c r="H17"/>
      <c r="I17"/>
    </row>
    <row r="18" spans="3:9" ht="41.25" customHeight="1" x14ac:dyDescent="0.3">
      <c r="C18" s="14"/>
      <c r="D18"/>
      <c r="E18" s="13"/>
      <c r="F18" s="13"/>
      <c r="G18" s="13"/>
      <c r="H18" s="13"/>
      <c r="I18" s="13"/>
    </row>
    <row r="19" spans="3:9" ht="16.5" customHeight="1" x14ac:dyDescent="0.35">
      <c r="C19" s="8">
        <f t="array" aca="1" ref="C19:D19" ca="1">DaysAndWeeks+DATE(CalendarYear,12,1)-WEEKDAY(DATE(CalendarYear,12,1),(WeekStart="MON")+1)+36</f>
        <v>43100</v>
      </c>
      <c r="D19" s="9">
        <f ca="1"/>
        <v>43101</v>
      </c>
      <c r="E19" s="13"/>
      <c r="F19" s="13"/>
      <c r="G19" s="13"/>
      <c r="H19" s="13"/>
      <c r="I19" s="13"/>
    </row>
    <row r="20" spans="3:9" ht="15" customHeight="1" x14ac:dyDescent="0.3">
      <c r="C20" s="6" t="str">
        <f ca="1">IF(WEEKDAY(CalendarDay)=WeekStartValue,CONCATENATE("Week ",WEEKNUM(CalendarDay),"/Day ",CalendarDay-DATE(YEAR(CalendarDay),1,0)),CONCATENATE("Day ",CalendarDay-DATE(YEAR(CalendarDay),1,0)))</f>
        <v>Week 53/Day 365</v>
      </c>
      <c r="D20" s="2" t="str">
        <f ca="1">IF(WEEKDAY(CalendarDay)=WeekStartValue,CONCATENATE("Week ",WEEKNUM(CalendarDay),"/Day ",CalendarDay-DATE(YEAR(CalendarDay),1,0)),CONCATENATE("Day ",CalendarDay-DATE(YEAR(CalendarDay),1,0)))</f>
        <v>Day 1</v>
      </c>
      <c r="E20" s="13"/>
      <c r="F20" s="13"/>
      <c r="G20" s="13"/>
      <c r="H20" s="13"/>
      <c r="I20" s="13"/>
    </row>
  </sheetData>
  <mergeCells count="2">
    <mergeCell ref="E18:I20"/>
    <mergeCell ref="C17:C18"/>
  </mergeCells>
  <conditionalFormatting sqref="C15:I15 C19:D19">
    <cfRule type="expression" dxfId="3" priority="2">
      <formula>AND(DAY(C15)&gt;=1,DAY(C15)&lt;=15)</formula>
    </cfRule>
  </conditionalFormatting>
  <conditionalFormatting sqref="C3:H3">
    <cfRule type="expression" dxfId="2" priority="1">
      <formula>DAY(C3)&gt;8</formula>
    </cfRule>
  </conditionalFormatting>
  <conditionalFormatting sqref="C4:I4">
    <cfRule type="expression" dxfId="1" priority="3">
      <formula>DAY(C3)&gt;8</formula>
    </cfRule>
  </conditionalFormatting>
  <conditionalFormatting sqref="C16:I16 C20:D20 C17:D17 F17:I17">
    <cfRule type="expression" dxfId="0" priority="4">
      <formula>AND(DAY(C15)&gt;=1,DAY(C15)&lt;=15)</formula>
    </cfRule>
  </conditionalFormatting>
  <dataValidations count="9">
    <dataValidation allowBlank="1" showInputMessage="1" showErrorMessage="1" prompt="December month calendar" sqref="A1" xr:uid="{00000000-0002-0000-0B00-000000000000}"/>
    <dataValidation allowBlank="1" showInputMessage="1" showErrorMessage="1" prompt="Month of worksheet is in this cell. Calendar starts in cell at right &amp; contains dates from previous, current, &amp; next month. Year is in cell below. Enter monthly notes in cell E18" sqref="B1" xr:uid="{00000000-0002-0000-0B00-000001000000}"/>
    <dataValidation allowBlank="1" showInputMessage="1" showErrorMessage="1" prompt="Year in this cell is automatically updated based on year entered in January worksheet" sqref="B2" xr:uid="{00000000-0002-0000-0B00-000002000000}"/>
    <dataValidation allowBlank="1" showInputMessage="1" showErrorMessage="1" prompt="This row contains weekday names for this calendar. This cell contains starting day of week. To change the starting day, select a new weekday in cell C1 in January worksheet" sqref="C1" xr:uid="{00000000-0002-0000-0B00-000003000000}"/>
    <dataValidation allowBlank="1" showInputMessage="1" showErrorMessage="1" prompt="Enter daily notes based on the calendar day in below cells in this and rows 5, 8, 11, 14 and 17, columns C to I" sqref="C2" xr:uid="{00000000-0002-0000-0B00-000004000000}"/>
    <dataValidation allowBlank="1" showInputMessage="1" showErrorMessage="1" prompt="Calendar day in this and rows 6, 9, 12, 15 &amp; 19, are automatically updated. If this cell doesn’t contain number 1, then it is a previous month's day" sqref="C3" xr:uid="{00000000-0002-0000-0B00-000005000000}"/>
    <dataValidation allowBlank="1" showInputMessage="1" showErrorMessage="1" prompt="Week and/or day count in this and rows 7, 10, 13, 16 &amp; 20, are automatically updated" sqref="C4" xr:uid="{00000000-0002-0000-0B00-000006000000}"/>
    <dataValidation allowBlank="1" showInputMessage="1" showErrorMessage="1" prompt="Enter Notes in cell below" sqref="E17" xr:uid="{00000000-0002-0000-0B00-000007000000}"/>
    <dataValidation allowBlank="1" showInputMessage="1" showErrorMessage="1" prompt="Enter Notes in this cell" sqref="E18:I20" xr:uid="{00000000-0002-0000-0B00-000008000000}"/>
  </dataValidations>
  <printOptions horizontalCentered="1" verticalCentered="1"/>
  <pageMargins left="0.25" right="0.25" top="0.75" bottom="0.75" header="0.3" footer="0.3"/>
  <pageSetup scale="85" orientation="landscape" r:id="rId1"/>
  <headerFooter differentFirst="1"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38</vt:i4>
      </vt:variant>
    </vt:vector>
  </HeadingPairs>
  <TitlesOfParts>
    <vt:vector size="50" baseType="lpstr">
      <vt:lpstr>JAN</vt:lpstr>
      <vt:lpstr>FEB</vt:lpstr>
      <vt:lpstr>MAR</vt:lpstr>
      <vt:lpstr>APR</vt:lpstr>
      <vt:lpstr>MAY</vt:lpstr>
      <vt:lpstr>JUN</vt:lpstr>
      <vt:lpstr>JUL</vt:lpstr>
      <vt:lpstr>AUG</vt:lpstr>
      <vt:lpstr>SEP</vt:lpstr>
      <vt:lpstr>OCT</vt:lpstr>
      <vt:lpstr>NOV</vt:lpstr>
      <vt:lpstr>DEC</vt:lpstr>
      <vt:lpstr>APR!CalendarDay</vt:lpstr>
      <vt:lpstr>AUG!CalendarDay</vt:lpstr>
      <vt:lpstr>DEC!CalendarDay</vt:lpstr>
      <vt:lpstr>FEB!CalendarDay</vt:lpstr>
      <vt:lpstr>JAN!CalendarDay</vt:lpstr>
      <vt:lpstr>JUL!CalendarDay</vt:lpstr>
      <vt:lpstr>JUN!CalendarDay</vt:lpstr>
      <vt:lpstr>MAR!CalendarDay</vt:lpstr>
      <vt:lpstr>MAY!CalendarDay</vt:lpstr>
      <vt:lpstr>NOV!CalendarDay</vt:lpstr>
      <vt:lpstr>OCT!CalendarDay</vt:lpstr>
      <vt:lpstr>SEP!CalendarDay</vt:lpstr>
      <vt:lpstr>CalendarYear</vt:lpstr>
      <vt:lpstr>ColumnTitleRegion1..J16.1</vt:lpstr>
      <vt:lpstr>ColumnTitleRegion1..J16.10</vt:lpstr>
      <vt:lpstr>ColumnTitleRegion1..J16.11</vt:lpstr>
      <vt:lpstr>ColumnTitleRegion1..J16.12</vt:lpstr>
      <vt:lpstr>ColumnTitleRegion1..J16.2</vt:lpstr>
      <vt:lpstr>ColumnTitleRegion1..J16.3</vt:lpstr>
      <vt:lpstr>ColumnTitleRegion1..J16.4</vt:lpstr>
      <vt:lpstr>ColumnTitleRegion1..J16.5</vt:lpstr>
      <vt:lpstr>ColumnTitleRegion1..J16.6</vt:lpstr>
      <vt:lpstr>ColumnTitleRegion1..J16.7</vt:lpstr>
      <vt:lpstr>ColumnTitleRegion1..J16.8</vt:lpstr>
      <vt:lpstr>ColumnTitleRegion1..J16.9</vt:lpstr>
      <vt:lpstr>ColumnTitleRegion2..E20.1</vt:lpstr>
      <vt:lpstr>ColumnTitleRegion2..E20.10</vt:lpstr>
      <vt:lpstr>ColumnTitleRegion2..E20.11</vt:lpstr>
      <vt:lpstr>ColumnTitleRegion2..E20.12</vt:lpstr>
      <vt:lpstr>ColumnTitleRegion2..E20.2</vt:lpstr>
      <vt:lpstr>ColumnTitleRegion2..E20.3</vt:lpstr>
      <vt:lpstr>ColumnTitleRegion2..E20.4</vt:lpstr>
      <vt:lpstr>ColumnTitleRegion2..E20.5</vt:lpstr>
      <vt:lpstr>ColumnTitleRegion2..E20.6</vt:lpstr>
      <vt:lpstr>ColumnTitleRegion2..E20.7</vt:lpstr>
      <vt:lpstr>ColumnTitleRegion2..E20.8</vt:lpstr>
      <vt:lpstr>ColumnTitleRegion2..E20.9</vt:lpstr>
      <vt:lpstr>WeekStart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2017-07-03T19:35:52Z</dcterms:created>
  <dcterms:modified xsi:type="dcterms:W3CDTF">2017-07-03T19:35:58Z</dcterms:modified>
</cp:coreProperties>
</file>